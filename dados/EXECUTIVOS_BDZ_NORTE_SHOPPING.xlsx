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oque_barra\Desktop\TIAGO\"/>
    </mc:Choice>
  </mc:AlternateContent>
  <xr:revisionPtr revIDLastSave="0" documentId="13_ncr:1_{2E8BFA98-3E14-407F-B596-13CEA0D479A7}" xr6:coauthVersionLast="47" xr6:coauthVersionMax="47" xr10:uidLastSave="{00000000-0000-0000-0000-000000000000}"/>
  <bookViews>
    <workbookView xWindow="-110" yWindow="-110" windowWidth="19420" windowHeight="10420" firstSheet="11" activeTab="13" xr2:uid="{00000000-000D-0000-FFFF-FFFF00000000}"/>
  </bookViews>
  <sheets>
    <sheet name="EMPADÃO DE FRANGO COM SALADA " sheetId="14" r:id="rId1"/>
    <sheet name="MINI ORELHA EXECUTIVO" sheetId="4" r:id="rId2"/>
    <sheet name="CARNE GUISADA  COM BATATA CORAD" sheetId="5" r:id="rId3"/>
    <sheet name="CARNE SECA COM TUTU À MINEIRA" sheetId="8" r:id="rId4"/>
    <sheet name="ISCA DE FÍGADO COM PURÊ" sheetId="9" r:id="rId5"/>
    <sheet name="FILÉ FRANGO EMPANADO COM FRITAS" sheetId="6" r:id="rId6"/>
    <sheet name="FILÉ FRANGO FRITAS" sheetId="2" r:id="rId7"/>
    <sheet name="FILÉ DE FRANGO COM LEGUMES" sheetId="10" r:id="rId8"/>
    <sheet name="FILÉ DE PEIXE COM LEGUMES" sheetId="11" r:id="rId9"/>
    <sheet name="FILÉ DE PEIXE COM PURÊ" sheetId="12" r:id="rId10"/>
    <sheet name="PERNIL COM MAIONESE" sheetId="7" r:id="rId11"/>
    <sheet name="SCHNITZEL COM MAIONESE" sheetId="13" r:id="rId12"/>
    <sheet name="GNOCCHI COM CARNE ASSADA" sheetId="15" r:id="rId13"/>
    <sheet name="Resumo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C24" i="4"/>
  <c r="I22" i="4" s="1"/>
  <c r="I35" i="4"/>
  <c r="G35" i="4"/>
  <c r="E34" i="4"/>
  <c r="C34" i="4"/>
  <c r="J33" i="4"/>
  <c r="I33" i="4"/>
  <c r="G33" i="4"/>
  <c r="J32" i="4"/>
  <c r="I32" i="4"/>
  <c r="G32" i="4"/>
  <c r="J31" i="4"/>
  <c r="I31" i="4"/>
  <c r="G31" i="4"/>
  <c r="J30" i="4"/>
  <c r="I30" i="4"/>
  <c r="G30" i="4"/>
  <c r="J29" i="4"/>
  <c r="I29" i="4"/>
  <c r="G29" i="4"/>
  <c r="J28" i="4"/>
  <c r="I28" i="4"/>
  <c r="G28" i="4"/>
  <c r="G5" i="16"/>
  <c r="G6" i="16"/>
  <c r="G7" i="16"/>
  <c r="G8" i="16"/>
  <c r="G9" i="16"/>
  <c r="G10" i="16"/>
  <c r="G11" i="16"/>
  <c r="G12" i="16"/>
  <c r="G13" i="16"/>
  <c r="G14" i="16"/>
  <c r="G15" i="16"/>
  <c r="G3" i="16"/>
  <c r="F5" i="16"/>
  <c r="F6" i="16"/>
  <c r="F7" i="16"/>
  <c r="F8" i="16"/>
  <c r="F9" i="16"/>
  <c r="F10" i="16"/>
  <c r="F11" i="16"/>
  <c r="F12" i="16"/>
  <c r="F13" i="16"/>
  <c r="F14" i="16"/>
  <c r="F15" i="16"/>
  <c r="F3" i="16"/>
  <c r="E5" i="16"/>
  <c r="E6" i="16"/>
  <c r="E7" i="16"/>
  <c r="E8" i="16"/>
  <c r="E9" i="16"/>
  <c r="E10" i="16"/>
  <c r="E11" i="16"/>
  <c r="E12" i="16"/>
  <c r="E13" i="16"/>
  <c r="E14" i="16"/>
  <c r="E15" i="16"/>
  <c r="E3" i="16"/>
  <c r="D5" i="16"/>
  <c r="D6" i="16"/>
  <c r="D7" i="16"/>
  <c r="D8" i="16"/>
  <c r="D9" i="16"/>
  <c r="D10" i="16"/>
  <c r="D11" i="16"/>
  <c r="D12" i="16"/>
  <c r="D13" i="16"/>
  <c r="D14" i="16"/>
  <c r="D15" i="16"/>
  <c r="D3" i="16"/>
  <c r="C5" i="16"/>
  <c r="C6" i="16"/>
  <c r="C7" i="16"/>
  <c r="C8" i="16"/>
  <c r="C9" i="16"/>
  <c r="C10" i="16"/>
  <c r="C11" i="16"/>
  <c r="C12" i="16"/>
  <c r="C13" i="16"/>
  <c r="C14" i="16"/>
  <c r="C15" i="16"/>
  <c r="C3" i="16"/>
  <c r="B15" i="16"/>
  <c r="B14" i="16"/>
  <c r="B13" i="16"/>
  <c r="B12" i="16"/>
  <c r="B11" i="16"/>
  <c r="B10" i="16"/>
  <c r="B9" i="16"/>
  <c r="B8" i="16"/>
  <c r="B7" i="16"/>
  <c r="B6" i="16"/>
  <c r="B5" i="16"/>
  <c r="B3" i="16"/>
  <c r="J10" i="15"/>
  <c r="I33" i="15"/>
  <c r="G33" i="15"/>
  <c r="E32" i="15"/>
  <c r="C22" i="15" s="1"/>
  <c r="C32" i="15"/>
  <c r="J31" i="15"/>
  <c r="I31" i="15"/>
  <c r="G31" i="15"/>
  <c r="J30" i="15"/>
  <c r="I30" i="15"/>
  <c r="G30" i="15"/>
  <c r="J29" i="15"/>
  <c r="I29" i="15"/>
  <c r="G29" i="15"/>
  <c r="J28" i="15"/>
  <c r="I28" i="15"/>
  <c r="G28" i="15"/>
  <c r="J27" i="15"/>
  <c r="I27" i="15"/>
  <c r="G27" i="15"/>
  <c r="J26" i="15"/>
  <c r="I26" i="15"/>
  <c r="G26" i="15"/>
  <c r="I15" i="15"/>
  <c r="G15" i="15"/>
  <c r="E14" i="15"/>
  <c r="E16" i="15" s="1"/>
  <c r="C14" i="15"/>
  <c r="C16" i="15" s="1"/>
  <c r="J13" i="15"/>
  <c r="I13" i="15"/>
  <c r="G13" i="15"/>
  <c r="J12" i="15"/>
  <c r="I12" i="15"/>
  <c r="G12" i="15"/>
  <c r="J11" i="15"/>
  <c r="I11" i="15"/>
  <c r="G11" i="15"/>
  <c r="G10" i="15"/>
  <c r="G9" i="15"/>
  <c r="J8" i="15"/>
  <c r="I8" i="15"/>
  <c r="G8" i="15"/>
  <c r="J10" i="13"/>
  <c r="J10" i="7"/>
  <c r="J10" i="11"/>
  <c r="J15" i="11" s="1"/>
  <c r="J1" i="11" s="1"/>
  <c r="J2" i="11" s="1"/>
  <c r="J10" i="10"/>
  <c r="J15" i="10" s="1"/>
  <c r="J1" i="10" s="1"/>
  <c r="J2" i="10" s="1"/>
  <c r="J8" i="14"/>
  <c r="J59" i="14"/>
  <c r="J9" i="14"/>
  <c r="I9" i="14"/>
  <c r="J24" i="13"/>
  <c r="J23" i="13"/>
  <c r="J36" i="13"/>
  <c r="J31" i="13"/>
  <c r="J32" i="13"/>
  <c r="J33" i="13"/>
  <c r="J34" i="13"/>
  <c r="J35" i="13"/>
  <c r="J30" i="13"/>
  <c r="J18" i="13"/>
  <c r="J1" i="13" s="1"/>
  <c r="J2" i="13" s="1"/>
  <c r="J9" i="13"/>
  <c r="J11" i="13"/>
  <c r="J12" i="13"/>
  <c r="J13" i="13"/>
  <c r="J14" i="13"/>
  <c r="J15" i="13"/>
  <c r="J16" i="13"/>
  <c r="J17" i="13"/>
  <c r="J8" i="13"/>
  <c r="J14" i="7"/>
  <c r="J1" i="7" s="1"/>
  <c r="J2" i="7" s="1"/>
  <c r="J9" i="7"/>
  <c r="J11" i="7"/>
  <c r="J12" i="7"/>
  <c r="J13" i="7"/>
  <c r="J8" i="7"/>
  <c r="J20" i="7"/>
  <c r="J27" i="7"/>
  <c r="J28" i="7"/>
  <c r="J29" i="7"/>
  <c r="J30" i="7"/>
  <c r="J31" i="7"/>
  <c r="J26" i="7"/>
  <c r="J2" i="12"/>
  <c r="J1" i="12"/>
  <c r="J15" i="12"/>
  <c r="J9" i="12"/>
  <c r="J10" i="12"/>
  <c r="J11" i="12"/>
  <c r="J12" i="12"/>
  <c r="J13" i="12"/>
  <c r="J14" i="12"/>
  <c r="J8" i="12"/>
  <c r="J21" i="11"/>
  <c r="J20" i="11"/>
  <c r="J34" i="11"/>
  <c r="J28" i="11"/>
  <c r="J29" i="11"/>
  <c r="J30" i="11"/>
  <c r="J31" i="11"/>
  <c r="J32" i="11"/>
  <c r="J33" i="11"/>
  <c r="J27" i="11"/>
  <c r="J9" i="11"/>
  <c r="J11" i="11"/>
  <c r="J12" i="11"/>
  <c r="J13" i="11"/>
  <c r="J14" i="11"/>
  <c r="J8" i="11"/>
  <c r="J21" i="10"/>
  <c r="J34" i="10"/>
  <c r="J28" i="10"/>
  <c r="J29" i="10"/>
  <c r="J30" i="10"/>
  <c r="J31" i="10"/>
  <c r="J32" i="10"/>
  <c r="J33" i="10"/>
  <c r="J27" i="10"/>
  <c r="J20" i="10"/>
  <c r="J9" i="10"/>
  <c r="J11" i="10"/>
  <c r="J12" i="10"/>
  <c r="J13" i="10"/>
  <c r="J14" i="10"/>
  <c r="J8" i="10"/>
  <c r="J2" i="2"/>
  <c r="J1" i="2"/>
  <c r="J15" i="2"/>
  <c r="J9" i="2"/>
  <c r="J10" i="2"/>
  <c r="J11" i="2"/>
  <c r="J12" i="2"/>
  <c r="J13" i="2"/>
  <c r="J14" i="2"/>
  <c r="J8" i="2"/>
  <c r="J2" i="6"/>
  <c r="J1" i="6"/>
  <c r="J18" i="6"/>
  <c r="J9" i="6"/>
  <c r="J10" i="6"/>
  <c r="J11" i="6"/>
  <c r="J12" i="6"/>
  <c r="J13" i="6"/>
  <c r="J14" i="6"/>
  <c r="J15" i="6"/>
  <c r="J16" i="6"/>
  <c r="J17" i="6"/>
  <c r="J8" i="6"/>
  <c r="J2" i="9"/>
  <c r="J1" i="9"/>
  <c r="J17" i="9"/>
  <c r="J9" i="9"/>
  <c r="J10" i="9"/>
  <c r="J11" i="9"/>
  <c r="J12" i="9"/>
  <c r="J13" i="9"/>
  <c r="J14" i="9"/>
  <c r="J15" i="9"/>
  <c r="J16" i="9"/>
  <c r="J8" i="9"/>
  <c r="J25" i="8"/>
  <c r="J24" i="8"/>
  <c r="J38" i="8"/>
  <c r="J32" i="8"/>
  <c r="J33" i="8"/>
  <c r="J34" i="8"/>
  <c r="J35" i="8"/>
  <c r="J36" i="8"/>
  <c r="J37" i="8"/>
  <c r="J31" i="8"/>
  <c r="J2" i="8"/>
  <c r="J1" i="8"/>
  <c r="J19" i="8"/>
  <c r="J9" i="8"/>
  <c r="J10" i="8"/>
  <c r="J11" i="8"/>
  <c r="J12" i="8"/>
  <c r="J13" i="8"/>
  <c r="J14" i="8"/>
  <c r="J15" i="8"/>
  <c r="J16" i="8"/>
  <c r="J17" i="8"/>
  <c r="J18" i="8"/>
  <c r="J8" i="8"/>
  <c r="J2" i="5"/>
  <c r="J1" i="5"/>
  <c r="J14" i="5"/>
  <c r="J9" i="5"/>
  <c r="J10" i="5"/>
  <c r="J11" i="5"/>
  <c r="J12" i="5"/>
  <c r="J13" i="5"/>
  <c r="J8" i="5"/>
  <c r="J9" i="4"/>
  <c r="J11" i="4"/>
  <c r="J12" i="4"/>
  <c r="J13" i="4"/>
  <c r="J14" i="4"/>
  <c r="J15" i="4"/>
  <c r="J16" i="4"/>
  <c r="J8" i="4"/>
  <c r="J17" i="4" s="1"/>
  <c r="J1" i="4" s="1"/>
  <c r="J2" i="4" s="1"/>
  <c r="B4" i="16" s="1"/>
  <c r="J67" i="14"/>
  <c r="J66" i="14"/>
  <c r="J32" i="14"/>
  <c r="J31" i="14"/>
  <c r="J78" i="14"/>
  <c r="J74" i="14"/>
  <c r="J75" i="14"/>
  <c r="J76" i="14"/>
  <c r="J77" i="14"/>
  <c r="J73" i="14"/>
  <c r="J60" i="14"/>
  <c r="J47" i="14"/>
  <c r="J39" i="14"/>
  <c r="J40" i="14"/>
  <c r="J41" i="14"/>
  <c r="J42" i="14"/>
  <c r="J43" i="14"/>
  <c r="J44" i="14"/>
  <c r="J45" i="14"/>
  <c r="J46" i="14"/>
  <c r="J38" i="14"/>
  <c r="J25" i="14"/>
  <c r="J26" i="14"/>
  <c r="J28" i="14" s="1"/>
  <c r="J17" i="14" s="1"/>
  <c r="J18" i="14" s="1"/>
  <c r="J27" i="14"/>
  <c r="J24" i="14"/>
  <c r="J10" i="14"/>
  <c r="J11" i="14"/>
  <c r="J12" i="14"/>
  <c r="J1" i="14" s="1"/>
  <c r="J2" i="14" s="1"/>
  <c r="I2" i="13"/>
  <c r="I1" i="13"/>
  <c r="H10" i="13"/>
  <c r="I24" i="13"/>
  <c r="C26" i="13"/>
  <c r="I23" i="13"/>
  <c r="H10" i="7"/>
  <c r="I20" i="7"/>
  <c r="C22" i="7"/>
  <c r="I19" i="7"/>
  <c r="I2" i="12"/>
  <c r="I1" i="12"/>
  <c r="I2" i="11"/>
  <c r="I1" i="11"/>
  <c r="H10" i="11"/>
  <c r="I21" i="11"/>
  <c r="C23" i="11"/>
  <c r="I20" i="11"/>
  <c r="I9" i="10"/>
  <c r="I10" i="10"/>
  <c r="I11" i="10"/>
  <c r="I12" i="10"/>
  <c r="I13" i="10"/>
  <c r="I14" i="10"/>
  <c r="I8" i="10"/>
  <c r="H10" i="10"/>
  <c r="I21" i="10"/>
  <c r="C23" i="10"/>
  <c r="I20" i="10"/>
  <c r="I2" i="2"/>
  <c r="I1" i="2"/>
  <c r="I2" i="9"/>
  <c r="H15" i="8"/>
  <c r="I25" i="8"/>
  <c r="C27" i="8"/>
  <c r="I24" i="8"/>
  <c r="H9" i="14"/>
  <c r="I67" i="14"/>
  <c r="C69" i="14"/>
  <c r="C54" i="14"/>
  <c r="C20" i="14"/>
  <c r="E4" i="16" l="1"/>
  <c r="C4" i="16"/>
  <c r="D4" i="16"/>
  <c r="G4" i="16"/>
  <c r="F4" i="16"/>
  <c r="I34" i="4"/>
  <c r="I21" i="4" s="1"/>
  <c r="I24" i="4" s="1"/>
  <c r="I25" i="4" s="1"/>
  <c r="J34" i="4"/>
  <c r="J21" i="4" s="1"/>
  <c r="J22" i="4" s="1"/>
  <c r="J24" i="4" s="1"/>
  <c r="J25" i="4" s="1"/>
  <c r="C3" i="15"/>
  <c r="J32" i="15"/>
  <c r="J19" i="15" s="1"/>
  <c r="J20" i="15" s="1"/>
  <c r="I32" i="15"/>
  <c r="I19" i="15" s="1"/>
  <c r="I20" i="15" s="1"/>
  <c r="G16" i="15"/>
  <c r="I10" i="15"/>
  <c r="J26" i="13"/>
  <c r="J27" i="13" s="1"/>
  <c r="J4" i="13"/>
  <c r="J5" i="13" s="1"/>
  <c r="J4" i="7"/>
  <c r="J5" i="7" s="1"/>
  <c r="J32" i="7"/>
  <c r="J19" i="7" s="1"/>
  <c r="J22" i="7" s="1"/>
  <c r="J23" i="7" s="1"/>
  <c r="J4" i="12"/>
  <c r="J5" i="12" s="1"/>
  <c r="J23" i="11"/>
  <c r="J24" i="11" s="1"/>
  <c r="J4" i="11"/>
  <c r="J5" i="11" s="1"/>
  <c r="J23" i="10"/>
  <c r="J24" i="10" s="1"/>
  <c r="J4" i="10"/>
  <c r="J5" i="10" s="1"/>
  <c r="J4" i="2"/>
  <c r="J5" i="2" s="1"/>
  <c r="J4" i="6"/>
  <c r="J5" i="6" s="1"/>
  <c r="J4" i="9"/>
  <c r="J5" i="9" s="1"/>
  <c r="J27" i="8"/>
  <c r="J28" i="8" s="1"/>
  <c r="J4" i="8"/>
  <c r="J5" i="8" s="1"/>
  <c r="J4" i="5"/>
  <c r="J5" i="5" s="1"/>
  <c r="J4" i="4"/>
  <c r="J5" i="4" s="1"/>
  <c r="J69" i="14"/>
  <c r="J70" i="14" s="1"/>
  <c r="J34" i="14"/>
  <c r="J35" i="14" s="1"/>
  <c r="J20" i="14"/>
  <c r="J21" i="14" s="1"/>
  <c r="J4" i="14"/>
  <c r="J5" i="14" s="1"/>
  <c r="I16" i="6"/>
  <c r="I79" i="14"/>
  <c r="G79" i="14"/>
  <c r="E78" i="14"/>
  <c r="C78" i="14"/>
  <c r="I77" i="14"/>
  <c r="G77" i="14"/>
  <c r="I76" i="14"/>
  <c r="G76" i="14"/>
  <c r="I75" i="14"/>
  <c r="G75" i="14"/>
  <c r="I74" i="14"/>
  <c r="G74" i="14"/>
  <c r="I73" i="14"/>
  <c r="G73" i="14"/>
  <c r="C68" i="14"/>
  <c r="I62" i="14"/>
  <c r="G62" i="14"/>
  <c r="C53" i="14"/>
  <c r="I60" i="14"/>
  <c r="G60" i="14"/>
  <c r="G59" i="14"/>
  <c r="G58" i="14"/>
  <c r="E47" i="14"/>
  <c r="C34" i="14" s="1"/>
  <c r="C47" i="14"/>
  <c r="G46" i="14"/>
  <c r="I46" i="14"/>
  <c r="G45" i="14"/>
  <c r="I45" i="14"/>
  <c r="G44" i="14"/>
  <c r="I44" i="14"/>
  <c r="G41" i="14"/>
  <c r="I48" i="14"/>
  <c r="G48" i="14"/>
  <c r="I43" i="14"/>
  <c r="G43" i="14"/>
  <c r="I42" i="14"/>
  <c r="G42" i="14"/>
  <c r="I41" i="14"/>
  <c r="I40" i="14"/>
  <c r="G40" i="14"/>
  <c r="I39" i="14"/>
  <c r="G39" i="14"/>
  <c r="I38" i="14"/>
  <c r="G38" i="14"/>
  <c r="I29" i="14"/>
  <c r="G29" i="14"/>
  <c r="C19" i="14"/>
  <c r="I27" i="14"/>
  <c r="I26" i="14"/>
  <c r="G26" i="14"/>
  <c r="I25" i="14"/>
  <c r="G25" i="14"/>
  <c r="I24" i="14"/>
  <c r="G24" i="14"/>
  <c r="I13" i="14"/>
  <c r="G13" i="14"/>
  <c r="E12" i="14"/>
  <c r="E14" i="14" s="1"/>
  <c r="C12" i="14"/>
  <c r="C14" i="14" s="1"/>
  <c r="I11" i="14"/>
  <c r="G11" i="14"/>
  <c r="I10" i="14"/>
  <c r="G10" i="14"/>
  <c r="G9" i="14"/>
  <c r="G8" i="14"/>
  <c r="I14" i="13"/>
  <c r="I15" i="13"/>
  <c r="I16" i="13"/>
  <c r="I17" i="13"/>
  <c r="E18" i="13"/>
  <c r="C18" i="13"/>
  <c r="G13" i="13"/>
  <c r="I13" i="13"/>
  <c r="C3" i="13"/>
  <c r="C20" i="13"/>
  <c r="I37" i="13"/>
  <c r="G37" i="13"/>
  <c r="E36" i="13"/>
  <c r="C36" i="13"/>
  <c r="I35" i="13"/>
  <c r="G35" i="13"/>
  <c r="I34" i="13"/>
  <c r="G34" i="13"/>
  <c r="I33" i="13"/>
  <c r="G33" i="13"/>
  <c r="I32" i="13"/>
  <c r="G32" i="13"/>
  <c r="I31" i="13"/>
  <c r="G31" i="13"/>
  <c r="I30" i="13"/>
  <c r="G30" i="13"/>
  <c r="I19" i="13"/>
  <c r="G19" i="13"/>
  <c r="G15" i="13"/>
  <c r="I12" i="13"/>
  <c r="G12" i="13"/>
  <c r="I11" i="13"/>
  <c r="G11" i="13"/>
  <c r="I10" i="13"/>
  <c r="G10" i="13"/>
  <c r="I9" i="13"/>
  <c r="G9" i="13"/>
  <c r="I8" i="13"/>
  <c r="G8" i="13"/>
  <c r="C17" i="12"/>
  <c r="I16" i="12"/>
  <c r="G16" i="12"/>
  <c r="E15" i="12"/>
  <c r="C15" i="12"/>
  <c r="I14" i="12"/>
  <c r="G14" i="12"/>
  <c r="I13" i="12"/>
  <c r="G13" i="12"/>
  <c r="I12" i="12"/>
  <c r="G12" i="12"/>
  <c r="I11" i="12"/>
  <c r="G11" i="12"/>
  <c r="I10" i="12"/>
  <c r="G10" i="12"/>
  <c r="I9" i="12"/>
  <c r="G9" i="12"/>
  <c r="I8" i="12"/>
  <c r="G8" i="12"/>
  <c r="I35" i="11"/>
  <c r="G35" i="11"/>
  <c r="E34" i="11"/>
  <c r="C34" i="11"/>
  <c r="I33" i="11"/>
  <c r="G33" i="11"/>
  <c r="I32" i="11"/>
  <c r="G32" i="11"/>
  <c r="I31" i="11"/>
  <c r="G31" i="11"/>
  <c r="I30" i="11"/>
  <c r="G30" i="11"/>
  <c r="I29" i="11"/>
  <c r="G29" i="11"/>
  <c r="I28" i="11"/>
  <c r="G28" i="11"/>
  <c r="I27" i="11"/>
  <c r="I34" i="11" s="1"/>
  <c r="G27" i="11"/>
  <c r="I23" i="11"/>
  <c r="E17" i="11"/>
  <c r="I16" i="11"/>
  <c r="G16" i="11"/>
  <c r="E15" i="11"/>
  <c r="C15" i="11"/>
  <c r="C17" i="11" s="1"/>
  <c r="I14" i="11"/>
  <c r="G14" i="11"/>
  <c r="I13" i="11"/>
  <c r="G13" i="11"/>
  <c r="I12" i="11"/>
  <c r="G12" i="11"/>
  <c r="I11" i="11"/>
  <c r="G11" i="11"/>
  <c r="I10" i="11"/>
  <c r="G10" i="11"/>
  <c r="I9" i="11"/>
  <c r="G9" i="11"/>
  <c r="I8" i="11"/>
  <c r="G8" i="11"/>
  <c r="I35" i="10"/>
  <c r="G35" i="10"/>
  <c r="E34" i="10"/>
  <c r="C34" i="10"/>
  <c r="I33" i="10"/>
  <c r="G33" i="10"/>
  <c r="I32" i="10"/>
  <c r="G32" i="10"/>
  <c r="I31" i="10"/>
  <c r="G31" i="10"/>
  <c r="I30" i="10"/>
  <c r="G30" i="10"/>
  <c r="I29" i="10"/>
  <c r="G29" i="10"/>
  <c r="I28" i="10"/>
  <c r="G28" i="10"/>
  <c r="I27" i="10"/>
  <c r="G27" i="10"/>
  <c r="I23" i="10"/>
  <c r="E17" i="10"/>
  <c r="I16" i="10"/>
  <c r="G16" i="10"/>
  <c r="E15" i="10"/>
  <c r="C15" i="10"/>
  <c r="C17" i="10" s="1"/>
  <c r="G17" i="10" s="1"/>
  <c r="G14" i="10"/>
  <c r="G13" i="10"/>
  <c r="G12" i="10"/>
  <c r="G11" i="10"/>
  <c r="G10" i="10"/>
  <c r="G9" i="10"/>
  <c r="G8" i="10"/>
  <c r="C3" i="10"/>
  <c r="I18" i="9"/>
  <c r="G18" i="9"/>
  <c r="E17" i="9"/>
  <c r="E19" i="9" s="1"/>
  <c r="C17" i="9"/>
  <c r="C19" i="9" s="1"/>
  <c r="I16" i="9"/>
  <c r="G16" i="9"/>
  <c r="I15" i="9"/>
  <c r="G15" i="9"/>
  <c r="I14" i="9"/>
  <c r="G14" i="9"/>
  <c r="I13" i="9"/>
  <c r="G13" i="9"/>
  <c r="I12" i="9"/>
  <c r="G12" i="9"/>
  <c r="I11" i="9"/>
  <c r="G11" i="9"/>
  <c r="I10" i="9"/>
  <c r="G10" i="9"/>
  <c r="I9" i="9"/>
  <c r="G9" i="9"/>
  <c r="I8" i="9"/>
  <c r="G8" i="9"/>
  <c r="I34" i="8"/>
  <c r="I11" i="8"/>
  <c r="G11" i="8"/>
  <c r="E19" i="8"/>
  <c r="G18" i="8"/>
  <c r="I18" i="8"/>
  <c r="C19" i="8"/>
  <c r="C21" i="8" s="1"/>
  <c r="I9" i="8"/>
  <c r="I10" i="8"/>
  <c r="I12" i="8"/>
  <c r="G10" i="8"/>
  <c r="G12" i="8"/>
  <c r="G9" i="8"/>
  <c r="I39" i="8"/>
  <c r="G39" i="8"/>
  <c r="E38" i="8"/>
  <c r="C26" i="8" s="1"/>
  <c r="C38" i="8"/>
  <c r="I37" i="8"/>
  <c r="G37" i="8"/>
  <c r="I36" i="8"/>
  <c r="G36" i="8"/>
  <c r="I35" i="8"/>
  <c r="G35" i="8"/>
  <c r="I33" i="8"/>
  <c r="G33" i="8"/>
  <c r="I32" i="8"/>
  <c r="G32" i="8"/>
  <c r="I31" i="8"/>
  <c r="G31" i="8"/>
  <c r="I20" i="8"/>
  <c r="G20" i="8"/>
  <c r="I17" i="8"/>
  <c r="G17" i="8"/>
  <c r="I16" i="8"/>
  <c r="G16" i="8"/>
  <c r="I15" i="8"/>
  <c r="G15" i="8"/>
  <c r="I14" i="8"/>
  <c r="G14" i="8"/>
  <c r="I13" i="8"/>
  <c r="G13" i="8"/>
  <c r="I8" i="8"/>
  <c r="G8" i="8"/>
  <c r="C3" i="7"/>
  <c r="I33" i="7"/>
  <c r="G33" i="7"/>
  <c r="E32" i="7"/>
  <c r="C32" i="7"/>
  <c r="I31" i="7"/>
  <c r="G31" i="7"/>
  <c r="I30" i="7"/>
  <c r="G30" i="7"/>
  <c r="I29" i="7"/>
  <c r="G29" i="7"/>
  <c r="I28" i="7"/>
  <c r="G28" i="7"/>
  <c r="I27" i="7"/>
  <c r="G27" i="7"/>
  <c r="I26" i="7"/>
  <c r="G26" i="7"/>
  <c r="I22" i="7"/>
  <c r="I23" i="7" s="1"/>
  <c r="E16" i="7"/>
  <c r="I15" i="7"/>
  <c r="G15" i="7"/>
  <c r="E14" i="7"/>
  <c r="C14" i="7"/>
  <c r="C16" i="7" s="1"/>
  <c r="I13" i="7"/>
  <c r="G13" i="7"/>
  <c r="I12" i="7"/>
  <c r="G12" i="7"/>
  <c r="I11" i="7"/>
  <c r="G11" i="7"/>
  <c r="I10" i="7"/>
  <c r="G10" i="7"/>
  <c r="I9" i="7"/>
  <c r="G9" i="7"/>
  <c r="I8" i="7"/>
  <c r="G8" i="7"/>
  <c r="G14" i="6"/>
  <c r="I14" i="6"/>
  <c r="G16" i="6"/>
  <c r="G15" i="6"/>
  <c r="I15" i="6"/>
  <c r="I19" i="6"/>
  <c r="G19" i="6"/>
  <c r="E18" i="6"/>
  <c r="E20" i="6" s="1"/>
  <c r="C18" i="6"/>
  <c r="C20" i="6" s="1"/>
  <c r="I17" i="6"/>
  <c r="G17" i="6"/>
  <c r="I13" i="6"/>
  <c r="G13" i="6"/>
  <c r="I12" i="6"/>
  <c r="G12" i="6"/>
  <c r="I11" i="6"/>
  <c r="G11" i="6"/>
  <c r="I10" i="6"/>
  <c r="G10" i="6"/>
  <c r="I9" i="6"/>
  <c r="G9" i="6"/>
  <c r="I8" i="6"/>
  <c r="G8" i="6"/>
  <c r="C3" i="2"/>
  <c r="C3" i="5"/>
  <c r="I15" i="5"/>
  <c r="G15" i="5"/>
  <c r="E14" i="5"/>
  <c r="E16" i="5" s="1"/>
  <c r="C14" i="5"/>
  <c r="C16" i="5" s="1"/>
  <c r="I13" i="5"/>
  <c r="G13" i="5"/>
  <c r="I12" i="5"/>
  <c r="G12" i="5"/>
  <c r="I11" i="5"/>
  <c r="G11" i="5"/>
  <c r="I10" i="5"/>
  <c r="G10" i="5"/>
  <c r="I9" i="5"/>
  <c r="G9" i="5"/>
  <c r="I8" i="5"/>
  <c r="G8" i="5"/>
  <c r="G14" i="4"/>
  <c r="I14" i="4"/>
  <c r="G15" i="4"/>
  <c r="I15" i="4"/>
  <c r="I18" i="4"/>
  <c r="G18" i="4"/>
  <c r="E17" i="4"/>
  <c r="C3" i="4" s="1"/>
  <c r="C17" i="4"/>
  <c r="I16" i="4"/>
  <c r="G16" i="4"/>
  <c r="I13" i="4"/>
  <c r="G13" i="4"/>
  <c r="I12" i="4"/>
  <c r="G12" i="4"/>
  <c r="I11" i="4"/>
  <c r="G11" i="4"/>
  <c r="I10" i="4"/>
  <c r="G10" i="4"/>
  <c r="I9" i="4"/>
  <c r="G9" i="4"/>
  <c r="I8" i="4"/>
  <c r="G8" i="4"/>
  <c r="E15" i="2"/>
  <c r="C15" i="2"/>
  <c r="C17" i="2" s="1"/>
  <c r="I14" i="2"/>
  <c r="G14" i="2"/>
  <c r="E17" i="2"/>
  <c r="I16" i="2"/>
  <c r="G16" i="2"/>
  <c r="I13" i="2"/>
  <c r="G13" i="2"/>
  <c r="I12" i="2"/>
  <c r="G12" i="2"/>
  <c r="I11" i="2"/>
  <c r="G11" i="2"/>
  <c r="I10" i="2"/>
  <c r="G10" i="2"/>
  <c r="I9" i="2"/>
  <c r="G9" i="2"/>
  <c r="I8" i="2"/>
  <c r="G8" i="2"/>
  <c r="J22" i="15" l="1"/>
  <c r="J23" i="15" s="1"/>
  <c r="H9" i="15"/>
  <c r="I22" i="15"/>
  <c r="I23" i="15" s="1"/>
  <c r="C33" i="14"/>
  <c r="I34" i="10"/>
  <c r="I15" i="2"/>
  <c r="I17" i="2" s="1"/>
  <c r="I78" i="14"/>
  <c r="C3" i="14"/>
  <c r="I47" i="14"/>
  <c r="I31" i="14" s="1"/>
  <c r="I32" i="14" s="1"/>
  <c r="I34" i="14"/>
  <c r="I35" i="14" s="1"/>
  <c r="I28" i="14"/>
  <c r="I17" i="14" s="1"/>
  <c r="I18" i="14" s="1"/>
  <c r="I20" i="14" s="1"/>
  <c r="I21" i="14" s="1"/>
  <c r="G14" i="14"/>
  <c r="I26" i="13"/>
  <c r="I27" i="13" s="1"/>
  <c r="I36" i="13"/>
  <c r="E20" i="13"/>
  <c r="G20" i="13" s="1"/>
  <c r="I18" i="13"/>
  <c r="I20" i="13" s="1"/>
  <c r="C3" i="12"/>
  <c r="E17" i="12"/>
  <c r="G17" i="12" s="1"/>
  <c r="I15" i="12"/>
  <c r="I17" i="12" s="1"/>
  <c r="G17" i="11"/>
  <c r="C3" i="11"/>
  <c r="I15" i="11"/>
  <c r="I17" i="11" s="1"/>
  <c r="I24" i="11"/>
  <c r="I24" i="10"/>
  <c r="I15" i="10"/>
  <c r="G19" i="9"/>
  <c r="C3" i="9"/>
  <c r="I17" i="9"/>
  <c r="I19" i="8"/>
  <c r="I38" i="8"/>
  <c r="C3" i="8"/>
  <c r="E21" i="8"/>
  <c r="G21" i="8" s="1"/>
  <c r="I27" i="8"/>
  <c r="I28" i="8" s="1"/>
  <c r="I32" i="7"/>
  <c r="G16" i="7"/>
  <c r="I14" i="7"/>
  <c r="C3" i="6"/>
  <c r="G20" i="6"/>
  <c r="I18" i="6"/>
  <c r="G16" i="5"/>
  <c r="I14" i="5"/>
  <c r="I17" i="4"/>
  <c r="I1" i="4" s="1"/>
  <c r="I2" i="4" s="1"/>
  <c r="G17" i="2"/>
  <c r="I9" i="15" l="1"/>
  <c r="J9" i="15"/>
  <c r="J14" i="15" s="1"/>
  <c r="J1" i="15" s="1"/>
  <c r="J2" i="15" s="1"/>
  <c r="J4" i="15" s="1"/>
  <c r="J5" i="15" s="1"/>
  <c r="I16" i="7"/>
  <c r="I1" i="7"/>
  <c r="I2" i="7" s="1"/>
  <c r="I17" i="10"/>
  <c r="I1" i="10"/>
  <c r="I2" i="10" s="1"/>
  <c r="I4" i="10" s="1"/>
  <c r="I5" i="10" s="1"/>
  <c r="I20" i="6"/>
  <c r="I1" i="6"/>
  <c r="I2" i="6" s="1"/>
  <c r="I4" i="6" s="1"/>
  <c r="I5" i="6" s="1"/>
  <c r="I19" i="9"/>
  <c r="I1" i="9"/>
  <c r="I16" i="5"/>
  <c r="I1" i="5"/>
  <c r="I2" i="5" s="1"/>
  <c r="I4" i="5" s="1"/>
  <c r="I5" i="5" s="1"/>
  <c r="I21" i="8"/>
  <c r="I1" i="8"/>
  <c r="I2" i="8" s="1"/>
  <c r="I4" i="8" s="1"/>
  <c r="I5" i="8" s="1"/>
  <c r="I66" i="14"/>
  <c r="H58" i="14"/>
  <c r="H59" i="14"/>
  <c r="I59" i="14" s="1"/>
  <c r="I4" i="13"/>
  <c r="I5" i="13" s="1"/>
  <c r="I4" i="12"/>
  <c r="I5" i="12" s="1"/>
  <c r="I4" i="11"/>
  <c r="I5" i="11" s="1"/>
  <c r="I4" i="9"/>
  <c r="I5" i="9" s="1"/>
  <c r="I4" i="7"/>
  <c r="I5" i="7" s="1"/>
  <c r="I4" i="4"/>
  <c r="I5" i="4" s="1"/>
  <c r="I4" i="2"/>
  <c r="I5" i="2" s="1"/>
  <c r="I14" i="15" l="1"/>
  <c r="I1" i="15" s="1"/>
  <c r="I2" i="15" s="1"/>
  <c r="I4" i="15" s="1"/>
  <c r="I5" i="15" s="1"/>
  <c r="I16" i="15"/>
  <c r="I58" i="14"/>
  <c r="I61" i="14" s="1"/>
  <c r="J58" i="14"/>
  <c r="J61" i="14" s="1"/>
  <c r="J51" i="14" s="1"/>
  <c r="J52" i="14" s="1"/>
  <c r="J54" i="14" s="1"/>
  <c r="J55" i="14" s="1"/>
  <c r="I69" i="14"/>
  <c r="I70" i="14" s="1"/>
  <c r="I51" i="14" l="1"/>
  <c r="I52" i="14" s="1"/>
  <c r="H8" i="14" l="1"/>
  <c r="I8" i="14" s="1"/>
  <c r="I54" i="14"/>
  <c r="I55" i="14" s="1"/>
  <c r="I12" i="14" l="1"/>
  <c r="I1" i="14" s="1"/>
  <c r="I2" i="14" s="1"/>
  <c r="I4" i="14" s="1"/>
  <c r="I5" i="14" s="1"/>
  <c r="I14" i="14" l="1"/>
</calcChain>
</file>

<file path=xl/sharedStrings.xml><?xml version="1.0" encoding="utf-8"?>
<sst xmlns="http://schemas.openxmlformats.org/spreadsheetml/2006/main" count="1024" uniqueCount="142">
  <si>
    <t>Categoria</t>
  </si>
  <si>
    <t>Custo total</t>
  </si>
  <si>
    <t>Preparação</t>
  </si>
  <si>
    <t>Custo porção</t>
  </si>
  <si>
    <t>Rendimento (porções)</t>
  </si>
  <si>
    <t>Índice de custo</t>
  </si>
  <si>
    <t>Peso Porção</t>
  </si>
  <si>
    <t>Preço de venda</t>
  </si>
  <si>
    <t>Obs:</t>
  </si>
  <si>
    <t>CMV</t>
  </si>
  <si>
    <t>Ingrediente</t>
  </si>
  <si>
    <t>Código SKU</t>
  </si>
  <si>
    <t>PesoBruto</t>
  </si>
  <si>
    <t>Perda manipulação</t>
  </si>
  <si>
    <t>Peso Líquido</t>
  </si>
  <si>
    <t>Unidade</t>
  </si>
  <si>
    <t>Fator de Correção</t>
  </si>
  <si>
    <t>Custo compra</t>
  </si>
  <si>
    <t>Valor produção</t>
  </si>
  <si>
    <t>KG</t>
  </si>
  <si>
    <t>TOTAL</t>
  </si>
  <si>
    <t>VALOR TOTAL</t>
  </si>
  <si>
    <t>Executivo</t>
  </si>
  <si>
    <t>Executivo Bar do Zeca</t>
  </si>
  <si>
    <t>filé de frango</t>
  </si>
  <si>
    <t>batata frita</t>
  </si>
  <si>
    <t>feijão pronto</t>
  </si>
  <si>
    <t>alho batido</t>
  </si>
  <si>
    <t>sal com pimenta</t>
  </si>
  <si>
    <t>óleo de soja</t>
  </si>
  <si>
    <t>L</t>
  </si>
  <si>
    <t>arroz  branco pronto</t>
  </si>
  <si>
    <t>bombom de alcatra</t>
  </si>
  <si>
    <t>guarnição à francesa</t>
  </si>
  <si>
    <t>farinha de trigo</t>
  </si>
  <si>
    <t>farinha pankp</t>
  </si>
  <si>
    <t>kg</t>
  </si>
  <si>
    <t>leitiosa de empanamento</t>
  </si>
  <si>
    <t>CARNE GUISADA COM BATATA CORADA</t>
  </si>
  <si>
    <t>acém mp</t>
  </si>
  <si>
    <t>batata asterix</t>
  </si>
  <si>
    <t>farofa de bacon</t>
  </si>
  <si>
    <t>Farinha de trigo</t>
  </si>
  <si>
    <t>Farinha panko</t>
  </si>
  <si>
    <t>Leitosa de empanamento</t>
  </si>
  <si>
    <t>Pernil MP</t>
  </si>
  <si>
    <t>Salada de Maionese MP</t>
  </si>
  <si>
    <t>SALADA DE MAIONESE</t>
  </si>
  <si>
    <t>Batata asterix</t>
  </si>
  <si>
    <t>cenoura</t>
  </si>
  <si>
    <t xml:space="preserve">maionese </t>
  </si>
  <si>
    <t>salsa picada</t>
  </si>
  <si>
    <t>PERNIL COM MAIONESE</t>
  </si>
  <si>
    <t>FILÉ DE FRANGO COM FRITAS</t>
  </si>
  <si>
    <t>MINI ORELHA DE ELEFANTE</t>
  </si>
  <si>
    <t>CARNE SECA COM TUTU A MINEIRA</t>
  </si>
  <si>
    <t>carne seca desfiada</t>
  </si>
  <si>
    <t>cebola branca</t>
  </si>
  <si>
    <t xml:space="preserve">tomate picado </t>
  </si>
  <si>
    <t>banha</t>
  </si>
  <si>
    <t>tutu de feijão mp</t>
  </si>
  <si>
    <t>couve refogada mp</t>
  </si>
  <si>
    <t>TUTU DE FEIJÃO PRETO</t>
  </si>
  <si>
    <t>Feijão preto pronto</t>
  </si>
  <si>
    <t>farinha de mandioca</t>
  </si>
  <si>
    <t>bacon picado</t>
  </si>
  <si>
    <t>isca de fígado de boi</t>
  </si>
  <si>
    <t>purê de batata mp</t>
  </si>
  <si>
    <t>feijão preto mp</t>
  </si>
  <si>
    <t>isca de fígado com purê</t>
  </si>
  <si>
    <t>salada de legumes</t>
  </si>
  <si>
    <t>brócolis americano</t>
  </si>
  <si>
    <t>vagem</t>
  </si>
  <si>
    <t>azeite</t>
  </si>
  <si>
    <t>SALADA DE LEGUMES MP</t>
  </si>
  <si>
    <t>FILÉ DE PEIXE COM LEGUMES</t>
  </si>
  <si>
    <t>filé de tilápia</t>
  </si>
  <si>
    <t>arroz  branco de brocolis mp</t>
  </si>
  <si>
    <t>copalombo</t>
  </si>
  <si>
    <t>farinha panko</t>
  </si>
  <si>
    <t>leitosa de empanamento</t>
  </si>
  <si>
    <t>limão sciciliano</t>
  </si>
  <si>
    <t>Salada de maionese MP</t>
  </si>
  <si>
    <t>SCHNITIZEL COM MAIONESE</t>
  </si>
  <si>
    <t>EMPADÃO DE FRANGO COM SALADA</t>
  </si>
  <si>
    <t>empadão de frango</t>
  </si>
  <si>
    <t>MASSA EMPADÃO</t>
  </si>
  <si>
    <t>ovo</t>
  </si>
  <si>
    <t>sal</t>
  </si>
  <si>
    <t>und</t>
  </si>
  <si>
    <t>RECHEIO EMPADÃO</t>
  </si>
  <si>
    <t>tomate</t>
  </si>
  <si>
    <t>ervilha congelada</t>
  </si>
  <si>
    <t>extrato de tomate</t>
  </si>
  <si>
    <t>EMPADÃO DE FRANGO</t>
  </si>
  <si>
    <t>massa empadão</t>
  </si>
  <si>
    <t>recheio empadão</t>
  </si>
  <si>
    <t>UND</t>
  </si>
  <si>
    <t>RENDIMENTO 20 PEDAÇOS DE EMPADÃO</t>
  </si>
  <si>
    <t xml:space="preserve">Rúcula </t>
  </si>
  <si>
    <t>alface americana</t>
  </si>
  <si>
    <t>tomate italiano</t>
  </si>
  <si>
    <t>cenoura ralada</t>
  </si>
  <si>
    <t>SALADA DA CASA ( individual)</t>
  </si>
  <si>
    <t>salada da casa( individual)</t>
  </si>
  <si>
    <t>porção</t>
  </si>
  <si>
    <t>feijãp preto pronto</t>
  </si>
  <si>
    <t>FILÉ DE FRANGO COM LEGUMES</t>
  </si>
  <si>
    <t>Valor preço de custo</t>
  </si>
  <si>
    <t>GNOCCHI COM CARNE ASSADA</t>
  </si>
  <si>
    <t>Ovo branco</t>
  </si>
  <si>
    <t>Sal refinado</t>
  </si>
  <si>
    <t>Manteiga</t>
  </si>
  <si>
    <t>Parmesão</t>
  </si>
  <si>
    <t>BASE DE GNOCCHI</t>
  </si>
  <si>
    <t>Base de gnocchi</t>
  </si>
  <si>
    <t>Molho ao sugo</t>
  </si>
  <si>
    <t>Caldo de carne</t>
  </si>
  <si>
    <t>Manjericão</t>
  </si>
  <si>
    <t>Carne assada 120gr</t>
  </si>
  <si>
    <t>MINI ORELHA EXECUTIVO</t>
  </si>
  <si>
    <t>CARNE SECA COM TUTU À MINEIRA</t>
  </si>
  <si>
    <t>ISCA DE FÍGADO COM PURÊ</t>
  </si>
  <si>
    <t>FILÉ FRANGO EMPANADO COM FRITAS</t>
  </si>
  <si>
    <t>FILÉ FRANGO FRITAS</t>
  </si>
  <si>
    <t>FILÉ DE PEIXE COM PURÊ</t>
  </si>
  <si>
    <t>SCHNITZEL COM MAIONESE</t>
  </si>
  <si>
    <t>CARNE GUISADA  COM BATATA CORADA</t>
  </si>
  <si>
    <t>PREÇO DE CUSTO</t>
  </si>
  <si>
    <t>Custo bruto</t>
  </si>
  <si>
    <t>Indíce de custo 3</t>
  </si>
  <si>
    <t>Indíce de custo 3,5</t>
  </si>
  <si>
    <t>Indíce de custo 4</t>
  </si>
  <si>
    <t>Indíce de custo 4,5</t>
  </si>
  <si>
    <t>Indíce de custo 5</t>
  </si>
  <si>
    <t>GUARNIÇÃO A FRANCESA</t>
  </si>
  <si>
    <t>Batata palha MP</t>
  </si>
  <si>
    <t>Presunto</t>
  </si>
  <si>
    <t>Cebola branca</t>
  </si>
  <si>
    <t>Ervilha congelada</t>
  </si>
  <si>
    <t>Salsa picada</t>
  </si>
  <si>
    <t>Banha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</si>
</sst>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Calibri"/>
      <family val="2"/>
    </font>
    <font>
      <b/>
      <sz val="10"/>
      <color rgb="FF0C0C0C"/>
      <name val="Calibri"/>
      <family val="2"/>
    </font>
    <font>
      <sz val="10"/>
      <color rgb="FF0C0C0C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Aptos Narrow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ptos Narrow"/>
    </font>
    <font>
      <b/>
      <sz val="11"/>
      <color rgb="FFFF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CAEDFB"/>
      </patternFill>
    </fill>
    <fill>
      <patternFill patternType="solid">
        <fgColor rgb="FFDBE9F7"/>
      </patternFill>
    </fill>
    <fill>
      <patternFill patternType="solid">
        <fgColor rgb="FFE5E5E5"/>
      </patternFill>
    </fill>
    <fill>
      <patternFill patternType="solid">
        <fgColor rgb="FFC1E4F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83CAEB"/>
      </patternFill>
    </fill>
    <fill>
      <patternFill patternType="solid">
        <f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 style="medium">
        <color rgb="FF505050"/>
      </right>
      <top/>
      <bottom style="medium">
        <color rgb="FFCCCCCC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505050"/>
      </right>
      <top style="medium">
        <color rgb="FFCCCCCC"/>
      </top>
      <bottom style="medium">
        <color rgb="FFCCCCCC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505050"/>
      </left>
      <right/>
      <top style="medium">
        <color rgb="FFCCCCCC"/>
      </top>
      <bottom style="medium">
        <color rgb="FF505050"/>
      </bottom>
      <diagonal/>
    </border>
    <border>
      <left/>
      <right style="medium">
        <color rgb="FF505050"/>
      </right>
      <top style="medium">
        <color rgb="FFCCCCCC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505050"/>
      </bottom>
      <diagonal/>
    </border>
    <border>
      <left style="medium">
        <color rgb="FFCCCCCC"/>
      </left>
      <right/>
      <top/>
      <bottom style="medium">
        <color rgb="FF505050"/>
      </bottom>
      <diagonal/>
    </border>
    <border>
      <left/>
      <right style="medium">
        <color rgb="FF000000"/>
      </right>
      <top/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9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8" fontId="5" fillId="3" borderId="8" xfId="0" applyNumberFormat="1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8" fontId="5" fillId="5" borderId="15" xfId="0" applyNumberFormat="1" applyFont="1" applyFill="1" applyBorder="1" applyAlignment="1">
      <alignment vertical="center" wrapText="1"/>
    </xf>
    <xf numFmtId="10" fontId="5" fillId="5" borderId="15" xfId="0" applyNumberFormat="1" applyFont="1" applyFill="1" applyBorder="1" applyAlignment="1">
      <alignment vertical="center" wrapText="1"/>
    </xf>
    <xf numFmtId="10" fontId="6" fillId="0" borderId="1" xfId="0" applyNumberFormat="1" applyFont="1" applyBorder="1" applyAlignment="1">
      <alignment horizontal="center"/>
    </xf>
    <xf numFmtId="0" fontId="3" fillId="7" borderId="21" xfId="0" applyFont="1" applyFill="1" applyBorder="1" applyAlignment="1">
      <alignment horizontal="center" wrapText="1"/>
    </xf>
    <xf numFmtId="0" fontId="3" fillId="7" borderId="15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0" fillId="7" borderId="15" xfId="0" applyFill="1" applyBorder="1" applyAlignment="1">
      <alignment wrapText="1"/>
    </xf>
    <xf numFmtId="0" fontId="3" fillId="0" borderId="15" xfId="0" applyFont="1" applyBorder="1" applyAlignment="1">
      <alignment horizontal="center" wrapText="1"/>
    </xf>
    <xf numFmtId="0" fontId="6" fillId="7" borderId="15" xfId="0" applyFont="1" applyFill="1" applyBorder="1" applyAlignment="1">
      <alignment horizontal="center" wrapText="1"/>
    </xf>
    <xf numFmtId="8" fontId="3" fillId="7" borderId="15" xfId="0" applyNumberFormat="1" applyFont="1" applyFill="1" applyBorder="1" applyAlignment="1">
      <alignment horizontal="center" wrapText="1"/>
    </xf>
    <xf numFmtId="0" fontId="3" fillId="7" borderId="23" xfId="0" applyFont="1" applyFill="1" applyBorder="1" applyAlignment="1">
      <alignment horizontal="center" wrapText="1"/>
    </xf>
    <xf numFmtId="44" fontId="6" fillId="0" borderId="23" xfId="0" applyNumberFormat="1" applyFont="1" applyBorder="1" applyAlignment="1">
      <alignment horizontal="center"/>
    </xf>
    <xf numFmtId="0" fontId="0" fillId="6" borderId="22" xfId="0" applyFill="1" applyBorder="1" applyAlignment="1">
      <alignment vertical="center" wrapText="1"/>
    </xf>
    <xf numFmtId="0" fontId="0" fillId="6" borderId="26" xfId="0" applyFill="1" applyBorder="1" applyAlignment="1">
      <alignment vertical="center" wrapText="1"/>
    </xf>
    <xf numFmtId="0" fontId="7" fillId="9" borderId="27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6" fillId="8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8" fontId="6" fillId="5" borderId="1" xfId="0" applyNumberFormat="1" applyFont="1" applyFill="1" applyBorder="1" applyAlignment="1">
      <alignment horizontal="center" wrapText="1"/>
    </xf>
    <xf numFmtId="8" fontId="3" fillId="5" borderId="1" xfId="0" applyNumberFormat="1" applyFont="1" applyFill="1" applyBorder="1" applyAlignment="1">
      <alignment horizontal="center" wrapText="1"/>
    </xf>
    <xf numFmtId="0" fontId="9" fillId="10" borderId="1" xfId="0" applyFont="1" applyFill="1" applyBorder="1" applyAlignment="1">
      <alignment horizontal="left" wrapText="1"/>
    </xf>
    <xf numFmtId="0" fontId="0" fillId="10" borderId="1" xfId="0" applyFill="1" applyBorder="1" applyAlignment="1">
      <alignment wrapText="1"/>
    </xf>
    <xf numFmtId="0" fontId="9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8" fontId="3" fillId="10" borderId="1" xfId="0" applyNumberFormat="1" applyFont="1" applyFill="1" applyBorder="1" applyAlignment="1">
      <alignment horizontal="center" wrapText="1"/>
    </xf>
    <xf numFmtId="0" fontId="8" fillId="10" borderId="1" xfId="0" applyFont="1" applyFill="1" applyBorder="1" applyAlignment="1">
      <alignment wrapText="1"/>
    </xf>
    <xf numFmtId="0" fontId="10" fillId="10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wrapText="1"/>
    </xf>
    <xf numFmtId="164" fontId="10" fillId="10" borderId="1" xfId="0" applyNumberFormat="1" applyFont="1" applyFill="1" applyBorder="1" applyAlignment="1">
      <alignment horizontal="center" wrapText="1"/>
    </xf>
    <xf numFmtId="0" fontId="9" fillId="11" borderId="1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left" wrapText="1"/>
    </xf>
    <xf numFmtId="0" fontId="3" fillId="7" borderId="30" xfId="0" applyFont="1" applyFill="1" applyBorder="1" applyAlignment="1">
      <alignment horizontal="center" wrapText="1"/>
    </xf>
    <xf numFmtId="0" fontId="0" fillId="7" borderId="8" xfId="0" applyFill="1" applyBorder="1" applyAlignment="1">
      <alignment wrapText="1"/>
    </xf>
    <xf numFmtId="0" fontId="3" fillId="7" borderId="8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6" fillId="7" borderId="8" xfId="0" applyFont="1" applyFill="1" applyBorder="1" applyAlignment="1">
      <alignment horizontal="center" wrapText="1"/>
    </xf>
    <xf numFmtId="8" fontId="3" fillId="7" borderId="8" xfId="0" applyNumberFormat="1" applyFont="1" applyFill="1" applyBorder="1" applyAlignment="1">
      <alignment horizontal="center" wrapText="1"/>
    </xf>
    <xf numFmtId="164" fontId="11" fillId="10" borderId="1" xfId="0" applyNumberFormat="1" applyFont="1" applyFill="1" applyBorder="1" applyAlignment="1">
      <alignment horizontal="center" wrapText="1"/>
    </xf>
    <xf numFmtId="44" fontId="6" fillId="0" borderId="1" xfId="0" applyNumberFormat="1" applyFont="1" applyBorder="1" applyAlignment="1">
      <alignment horizontal="center"/>
    </xf>
    <xf numFmtId="0" fontId="6" fillId="5" borderId="0" xfId="0" applyFont="1" applyFill="1" applyAlignment="1">
      <alignment wrapText="1"/>
    </xf>
    <xf numFmtId="44" fontId="6" fillId="10" borderId="1" xfId="1" applyFont="1" applyFill="1" applyBorder="1" applyAlignment="1">
      <alignment horizontal="center" wrapText="1"/>
    </xf>
    <xf numFmtId="44" fontId="6" fillId="5" borderId="1" xfId="1" applyFont="1" applyFill="1" applyBorder="1" applyAlignment="1">
      <alignment horizontal="center" wrapText="1"/>
    </xf>
    <xf numFmtId="44" fontId="0" fillId="10" borderId="1" xfId="1" applyFont="1" applyFill="1" applyBorder="1" applyAlignment="1">
      <alignment wrapText="1"/>
    </xf>
    <xf numFmtId="44" fontId="10" fillId="10" borderId="1" xfId="1" applyFont="1" applyFill="1" applyBorder="1" applyAlignment="1">
      <alignment horizontal="center" wrapText="1"/>
    </xf>
    <xf numFmtId="8" fontId="0" fillId="0" borderId="1" xfId="0" applyNumberFormat="1" applyBorder="1"/>
    <xf numFmtId="44" fontId="0" fillId="0" borderId="0" xfId="0" applyNumberFormat="1"/>
    <xf numFmtId="8" fontId="6" fillId="0" borderId="23" xfId="0" applyNumberFormat="1" applyFont="1" applyBorder="1" applyAlignment="1">
      <alignment horizontal="center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0" fillId="9" borderId="28" xfId="0" applyFill="1" applyBorder="1" applyAlignment="1">
      <alignment horizontal="center" wrapText="1"/>
    </xf>
    <xf numFmtId="0" fontId="0" fillId="9" borderId="5" xfId="0" applyFill="1" applyBorder="1" applyAlignment="1">
      <alignment horizontal="center" wrapText="1"/>
    </xf>
    <xf numFmtId="0" fontId="0" fillId="9" borderId="29" xfId="0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44" fontId="0" fillId="0" borderId="1" xfId="1" applyFont="1" applyBorder="1"/>
    <xf numFmtId="0" fontId="2" fillId="0" borderId="0" xfId="0" applyFont="1"/>
    <xf numFmtId="44" fontId="0" fillId="0" borderId="1" xfId="0" applyNumberFormat="1" applyBorder="1"/>
    <xf numFmtId="0" fontId="1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CC91-7397-494C-BA8C-FBAE2CBC8B55}">
  <dimension ref="A1:J79"/>
  <sheetViews>
    <sheetView topLeftCell="A33" workbookViewId="0">
      <selection activeCell="C26" sqref="C26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7.816406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I12</f>
        <v>5.4251223305217122</v>
      </c>
      <c r="J1" s="58">
        <f>J12</f>
        <v>7.0183999999999997</v>
      </c>
    </row>
    <row r="2" spans="1:10" ht="15" thickBot="1" x14ac:dyDescent="0.4">
      <c r="A2" s="70" t="s">
        <v>2</v>
      </c>
      <c r="B2" s="71"/>
      <c r="C2" s="72" t="s">
        <v>84</v>
      </c>
      <c r="D2" s="73"/>
      <c r="E2" s="73"/>
      <c r="F2" s="74"/>
      <c r="G2" s="3" t="s">
        <v>3</v>
      </c>
      <c r="H2" s="4"/>
      <c r="I2" s="5">
        <f>I1/C4</f>
        <v>5.4251223305217122</v>
      </c>
      <c r="J2" s="5">
        <f>J1/C4</f>
        <v>7.0183999999999997</v>
      </c>
    </row>
    <row r="3" spans="1:10" ht="15" thickBot="1" x14ac:dyDescent="0.4">
      <c r="A3" s="75" t="s">
        <v>4</v>
      </c>
      <c r="B3" s="76"/>
      <c r="C3" s="77">
        <f>E12/C4</f>
        <v>0.64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27.125611652608562</v>
      </c>
      <c r="J4" s="10">
        <f>J2*J3</f>
        <v>35.091999999999999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0.19999999999999998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85</v>
      </c>
      <c r="B8" s="26"/>
      <c r="C8" s="27">
        <v>0.18</v>
      </c>
      <c r="D8" s="28">
        <v>0</v>
      </c>
      <c r="E8" s="28">
        <v>0.18</v>
      </c>
      <c r="F8" s="28" t="s">
        <v>19</v>
      </c>
      <c r="G8" s="28">
        <f>C8/E8</f>
        <v>1</v>
      </c>
      <c r="H8" s="29">
        <f>I52</f>
        <v>11.610124058453955</v>
      </c>
      <c r="I8" s="30">
        <f>E8*H8</f>
        <v>2.0898223305217121</v>
      </c>
      <c r="J8" s="60">
        <f>C8*12.64</f>
        <v>2.2751999999999999</v>
      </c>
    </row>
    <row r="9" spans="1:10" x14ac:dyDescent="0.35">
      <c r="A9" s="25" t="s">
        <v>104</v>
      </c>
      <c r="B9" s="26"/>
      <c r="C9" s="27">
        <v>0.14000000000000001</v>
      </c>
      <c r="D9" s="28">
        <v>0</v>
      </c>
      <c r="E9" s="28">
        <v>0.14000000000000001</v>
      </c>
      <c r="F9" s="28" t="s">
        <v>105</v>
      </c>
      <c r="G9" s="28">
        <f>C9/E9</f>
        <v>1</v>
      </c>
      <c r="H9" s="29">
        <f>I67</f>
        <v>18.295000000000002</v>
      </c>
      <c r="I9" s="30">
        <f t="shared" ref="I9" si="0">E9*H9</f>
        <v>2.5613000000000006</v>
      </c>
      <c r="J9" s="60">
        <f>J78</f>
        <v>3.9691999999999998</v>
      </c>
    </row>
    <row r="10" spans="1:10" x14ac:dyDescent="0.35">
      <c r="A10" s="25" t="s">
        <v>31</v>
      </c>
      <c r="B10" s="26"/>
      <c r="C10" s="27">
        <v>0.2</v>
      </c>
      <c r="D10" s="28">
        <v>0</v>
      </c>
      <c r="E10" s="28">
        <v>0.2</v>
      </c>
      <c r="F10" s="28" t="s">
        <v>19</v>
      </c>
      <c r="G10" s="28">
        <f>C10/E10</f>
        <v>1</v>
      </c>
      <c r="H10" s="29">
        <v>1.98</v>
      </c>
      <c r="I10" s="30">
        <f>E10*H10</f>
        <v>0.39600000000000002</v>
      </c>
      <c r="J10" s="60">
        <f t="shared" ref="J10:J11" si="1">C10*H10</f>
        <v>0.39600000000000002</v>
      </c>
    </row>
    <row r="11" spans="1:10" x14ac:dyDescent="0.35">
      <c r="A11" s="25" t="s">
        <v>106</v>
      </c>
      <c r="B11" s="26"/>
      <c r="C11" s="27">
        <v>0.12</v>
      </c>
      <c r="D11" s="28">
        <v>0</v>
      </c>
      <c r="E11" s="28">
        <v>0.12</v>
      </c>
      <c r="F11" s="28" t="s">
        <v>19</v>
      </c>
      <c r="G11" s="28">
        <f t="shared" ref="G11" si="2">C11/E11</f>
        <v>1</v>
      </c>
      <c r="H11" s="29">
        <v>3.15</v>
      </c>
      <c r="I11" s="30">
        <f t="shared" ref="I11" si="3">E11*H11</f>
        <v>0.378</v>
      </c>
      <c r="J11" s="60">
        <f t="shared" si="1"/>
        <v>0.378</v>
      </c>
    </row>
    <row r="12" spans="1:10" ht="15" thickBot="1" x14ac:dyDescent="0.4">
      <c r="A12" s="45" t="s">
        <v>20</v>
      </c>
      <c r="B12" s="46"/>
      <c r="C12" s="47">
        <f>SUM(C8:C11)</f>
        <v>0.64</v>
      </c>
      <c r="D12" s="46"/>
      <c r="E12" s="48">
        <f>SUM(E8:E11)</f>
        <v>0.64</v>
      </c>
      <c r="F12" s="47" t="s">
        <v>19</v>
      </c>
      <c r="G12" s="46"/>
      <c r="H12" s="49" t="s">
        <v>21</v>
      </c>
      <c r="I12" s="50">
        <f>SUM(I8:I11)</f>
        <v>5.4251223305217122</v>
      </c>
      <c r="J12" s="50">
        <f>SUM(J8:J11)</f>
        <v>7.0183999999999997</v>
      </c>
    </row>
    <row r="13" spans="1:10" ht="15" thickBot="1" x14ac:dyDescent="0.4">
      <c r="A13" s="24"/>
      <c r="B13" s="67"/>
      <c r="C13" s="68">
        <v>0.02</v>
      </c>
      <c r="D13" s="68">
        <v>0</v>
      </c>
      <c r="E13" s="68">
        <v>0.02</v>
      </c>
      <c r="F13" s="68" t="s">
        <v>30</v>
      </c>
      <c r="G13" s="68">
        <f>C13/E13</f>
        <v>1</v>
      </c>
      <c r="H13" s="68"/>
      <c r="I13" s="69">
        <f>E13*H13</f>
        <v>0</v>
      </c>
      <c r="J13" s="9"/>
    </row>
    <row r="14" spans="1:10" x14ac:dyDescent="0.35">
      <c r="A14" s="85"/>
      <c r="B14" s="85"/>
      <c r="C14" s="85">
        <f>SUM(C8:C13)</f>
        <v>1.3</v>
      </c>
      <c r="D14" s="85">
        <v>0</v>
      </c>
      <c r="E14" s="85">
        <f>SUM(E8:E13)</f>
        <v>1.3</v>
      </c>
      <c r="F14" s="85" t="s">
        <v>19</v>
      </c>
      <c r="G14" s="85">
        <f>C14/E14</f>
        <v>1</v>
      </c>
      <c r="H14" s="85" t="s">
        <v>21</v>
      </c>
      <c r="I14" s="85">
        <f>SUM(I8:I13)</f>
        <v>10.850244661043424</v>
      </c>
      <c r="J14" s="85"/>
    </row>
    <row r="17" spans="1:10" x14ac:dyDescent="0.35">
      <c r="A17" s="86" t="s">
        <v>0</v>
      </c>
      <c r="B17" s="86"/>
      <c r="C17" s="86" t="s">
        <v>22</v>
      </c>
      <c r="D17" s="86"/>
      <c r="E17" s="86"/>
      <c r="F17" s="86"/>
      <c r="G17" s="1" t="s">
        <v>1</v>
      </c>
      <c r="H17" s="2"/>
      <c r="I17" s="58">
        <f>I28</f>
        <v>8.0144000000000002</v>
      </c>
      <c r="J17" s="58">
        <f>J28</f>
        <v>8.0144000000000002</v>
      </c>
    </row>
    <row r="18" spans="1:10" ht="15" thickBot="1" x14ac:dyDescent="0.4">
      <c r="A18" s="70" t="s">
        <v>2</v>
      </c>
      <c r="B18" s="71"/>
      <c r="C18" s="72" t="s">
        <v>86</v>
      </c>
      <c r="D18" s="73"/>
      <c r="E18" s="73"/>
      <c r="F18" s="74"/>
      <c r="G18" s="3" t="s">
        <v>3</v>
      </c>
      <c r="H18" s="4"/>
      <c r="I18" s="5">
        <f>I17/C20</f>
        <v>4.8572121212121218</v>
      </c>
      <c r="J18" s="5">
        <f>J17/C20</f>
        <v>4.8572121212121218</v>
      </c>
    </row>
    <row r="19" spans="1:10" ht="15" thickBot="1" x14ac:dyDescent="0.4">
      <c r="A19" s="75" t="s">
        <v>4</v>
      </c>
      <c r="B19" s="76"/>
      <c r="C19" s="77">
        <f>E28/C20</f>
        <v>1</v>
      </c>
      <c r="D19" s="78"/>
      <c r="E19" s="78"/>
      <c r="F19" s="79"/>
      <c r="G19" s="6" t="s">
        <v>5</v>
      </c>
      <c r="H19" s="7"/>
      <c r="I19" s="8">
        <v>5</v>
      </c>
      <c r="J19" s="8">
        <v>5</v>
      </c>
    </row>
    <row r="20" spans="1:10" ht="15" thickBot="1" x14ac:dyDescent="0.4">
      <c r="A20" s="80" t="s">
        <v>6</v>
      </c>
      <c r="B20" s="81"/>
      <c r="C20" s="82">
        <f>E28</f>
        <v>1.65</v>
      </c>
      <c r="D20" s="83"/>
      <c r="E20" s="83"/>
      <c r="F20" s="84"/>
      <c r="G20" s="6" t="s">
        <v>7</v>
      </c>
      <c r="H20" s="7"/>
      <c r="I20" s="10">
        <f>I18*I19</f>
        <v>24.286060606060609</v>
      </c>
      <c r="J20" s="10">
        <f>J18*J19</f>
        <v>24.286060606060609</v>
      </c>
    </row>
    <row r="21" spans="1:10" ht="15" thickBot="1" x14ac:dyDescent="0.4">
      <c r="A21" s="61" t="s">
        <v>8</v>
      </c>
      <c r="B21" s="62"/>
      <c r="C21" s="62" t="s">
        <v>23</v>
      </c>
      <c r="D21" s="62"/>
      <c r="E21" s="62"/>
      <c r="F21" s="63"/>
      <c r="G21" s="6" t="s">
        <v>9</v>
      </c>
      <c r="H21" s="7"/>
      <c r="I21" s="11">
        <f>I18/I20</f>
        <v>0.2</v>
      </c>
      <c r="J21" s="11">
        <f>J18/J20</f>
        <v>0.2</v>
      </c>
    </row>
    <row r="22" spans="1:10" x14ac:dyDescent="0.35">
      <c r="A22" s="64"/>
      <c r="B22" s="65"/>
      <c r="C22" s="65"/>
      <c r="D22" s="65"/>
      <c r="E22" s="65"/>
      <c r="F22" s="66"/>
      <c r="G22" s="22"/>
      <c r="H22" s="22"/>
      <c r="I22" s="23"/>
      <c r="J22" s="12"/>
    </row>
    <row r="23" spans="1:10" ht="26.5" x14ac:dyDescent="0.35">
      <c r="A23" s="15" t="s">
        <v>10</v>
      </c>
      <c r="B23" s="15" t="s">
        <v>11</v>
      </c>
      <c r="C23" s="15" t="s">
        <v>12</v>
      </c>
      <c r="D23" s="15" t="s">
        <v>13</v>
      </c>
      <c r="E23" s="15" t="s">
        <v>14</v>
      </c>
      <c r="F23" s="15" t="s">
        <v>15</v>
      </c>
      <c r="G23" s="15" t="s">
        <v>16</v>
      </c>
      <c r="H23" s="15" t="s">
        <v>17</v>
      </c>
      <c r="I23" s="15" t="s">
        <v>18</v>
      </c>
      <c r="J23" s="20" t="s">
        <v>108</v>
      </c>
    </row>
    <row r="24" spans="1:10" x14ac:dyDescent="0.35">
      <c r="A24" s="25" t="s">
        <v>34</v>
      </c>
      <c r="B24" s="26"/>
      <c r="C24" s="27">
        <v>1</v>
      </c>
      <c r="D24" s="28">
        <v>0</v>
      </c>
      <c r="E24" s="28">
        <v>1</v>
      </c>
      <c r="F24" s="28" t="s">
        <v>19</v>
      </c>
      <c r="G24" s="28">
        <f>C24/E24</f>
        <v>1</v>
      </c>
      <c r="H24" s="29">
        <v>5.9</v>
      </c>
      <c r="I24" s="30">
        <f>E24*H24</f>
        <v>5.9</v>
      </c>
      <c r="J24" s="60">
        <f>C24*H24</f>
        <v>5.9</v>
      </c>
    </row>
    <row r="25" spans="1:10" x14ac:dyDescent="0.35">
      <c r="A25" s="25" t="s">
        <v>59</v>
      </c>
      <c r="B25" s="26"/>
      <c r="C25" s="27">
        <v>0.5</v>
      </c>
      <c r="D25" s="28">
        <v>0</v>
      </c>
      <c r="E25" s="28">
        <v>0.5</v>
      </c>
      <c r="F25" s="28" t="s">
        <v>19</v>
      </c>
      <c r="G25" s="28">
        <f>C25/E25</f>
        <v>1</v>
      </c>
      <c r="H25" s="29">
        <v>1</v>
      </c>
      <c r="I25" s="30">
        <f>E25*H25</f>
        <v>0.5</v>
      </c>
      <c r="J25" s="60">
        <f t="shared" ref="J25:J27" si="4">C25*H25</f>
        <v>0.5</v>
      </c>
    </row>
    <row r="26" spans="1:10" x14ac:dyDescent="0.35">
      <c r="A26" s="25" t="s">
        <v>87</v>
      </c>
      <c r="B26" s="26"/>
      <c r="C26" s="27">
        <v>3</v>
      </c>
      <c r="D26" s="28">
        <v>0</v>
      </c>
      <c r="E26" s="28">
        <v>3</v>
      </c>
      <c r="F26" s="28" t="s">
        <v>89</v>
      </c>
      <c r="G26" s="28">
        <f t="shared" ref="G26" si="5">C26/E26</f>
        <v>1</v>
      </c>
      <c r="H26" s="29">
        <v>0.52</v>
      </c>
      <c r="I26" s="30">
        <f t="shared" ref="I26:I27" si="6">E26*H26</f>
        <v>1.56</v>
      </c>
      <c r="J26" s="60">
        <f t="shared" si="4"/>
        <v>1.56</v>
      </c>
    </row>
    <row r="27" spans="1:10" ht="15" thickBot="1" x14ac:dyDescent="0.4">
      <c r="A27" s="25" t="s">
        <v>88</v>
      </c>
      <c r="B27" s="26"/>
      <c r="C27" s="27">
        <v>0.02</v>
      </c>
      <c r="D27" s="28">
        <v>0</v>
      </c>
      <c r="E27" s="28">
        <v>0.02</v>
      </c>
      <c r="F27" s="28" t="s">
        <v>19</v>
      </c>
      <c r="G27" s="28"/>
      <c r="H27" s="29">
        <v>2.72</v>
      </c>
      <c r="I27" s="30">
        <f t="shared" si="6"/>
        <v>5.4400000000000004E-2</v>
      </c>
      <c r="J27" s="60">
        <f t="shared" si="4"/>
        <v>5.4400000000000004E-2</v>
      </c>
    </row>
    <row r="28" spans="1:10" ht="15" thickBot="1" x14ac:dyDescent="0.4">
      <c r="A28" s="13" t="s">
        <v>20</v>
      </c>
      <c r="B28" s="16"/>
      <c r="C28" s="14">
        <v>1.65</v>
      </c>
      <c r="D28" s="16"/>
      <c r="E28" s="17">
        <v>1.65</v>
      </c>
      <c r="F28" s="14" t="s">
        <v>19</v>
      </c>
      <c r="G28" s="16"/>
      <c r="H28" s="18" t="s">
        <v>21</v>
      </c>
      <c r="I28" s="19">
        <f>SUM(I24:I27)</f>
        <v>8.0144000000000002</v>
      </c>
      <c r="J28" s="19">
        <f>SUM(J24:J27)</f>
        <v>8.0144000000000002</v>
      </c>
    </row>
    <row r="29" spans="1:10" ht="15" thickBot="1" x14ac:dyDescent="0.4">
      <c r="A29" s="24"/>
      <c r="B29" s="67"/>
      <c r="C29" s="68">
        <v>0.02</v>
      </c>
      <c r="D29" s="68">
        <v>0</v>
      </c>
      <c r="E29" s="68">
        <v>0.02</v>
      </c>
      <c r="F29" s="68" t="s">
        <v>30</v>
      </c>
      <c r="G29" s="68">
        <f>C29/E29</f>
        <v>1</v>
      </c>
      <c r="H29" s="68"/>
      <c r="I29" s="69">
        <f>E29*H29</f>
        <v>0</v>
      </c>
      <c r="J29" s="9"/>
    </row>
    <row r="31" spans="1:10" x14ac:dyDescent="0.35">
      <c r="A31" s="86" t="s">
        <v>0</v>
      </c>
      <c r="B31" s="86"/>
      <c r="C31" s="86" t="s">
        <v>22</v>
      </c>
      <c r="D31" s="86"/>
      <c r="E31" s="86"/>
      <c r="F31" s="86"/>
      <c r="G31" s="1" t="s">
        <v>1</v>
      </c>
      <c r="H31" s="2"/>
      <c r="I31" s="58">
        <f>I47</f>
        <v>33.328499999999991</v>
      </c>
      <c r="J31" s="58">
        <f>J47</f>
        <v>36.706499999999991</v>
      </c>
    </row>
    <row r="32" spans="1:10" ht="15" thickBot="1" x14ac:dyDescent="0.4">
      <c r="A32" s="70" t="s">
        <v>2</v>
      </c>
      <c r="B32" s="71"/>
      <c r="C32" s="72" t="s">
        <v>90</v>
      </c>
      <c r="D32" s="73"/>
      <c r="E32" s="73"/>
      <c r="F32" s="74"/>
      <c r="G32" s="3" t="s">
        <v>3</v>
      </c>
      <c r="H32" s="4"/>
      <c r="I32" s="5">
        <f>I31/C34</f>
        <v>13.743711340206183</v>
      </c>
      <c r="J32" s="5">
        <f>J31/C34</f>
        <v>15.136701030927833</v>
      </c>
    </row>
    <row r="33" spans="1:10" ht="15" thickBot="1" x14ac:dyDescent="0.4">
      <c r="A33" s="75" t="s">
        <v>4</v>
      </c>
      <c r="B33" s="76"/>
      <c r="C33" s="77">
        <f>E47/C34</f>
        <v>1</v>
      </c>
      <c r="D33" s="78"/>
      <c r="E33" s="78"/>
      <c r="F33" s="79"/>
      <c r="G33" s="6" t="s">
        <v>5</v>
      </c>
      <c r="H33" s="7"/>
      <c r="I33" s="8">
        <v>5</v>
      </c>
      <c r="J33" s="8">
        <v>5</v>
      </c>
    </row>
    <row r="34" spans="1:10" ht="15" thickBot="1" x14ac:dyDescent="0.4">
      <c r="A34" s="80" t="s">
        <v>6</v>
      </c>
      <c r="B34" s="81"/>
      <c r="C34" s="82">
        <f>E47</f>
        <v>2.4249999999999998</v>
      </c>
      <c r="D34" s="83"/>
      <c r="E34" s="83"/>
      <c r="F34" s="84"/>
      <c r="G34" s="6" t="s">
        <v>7</v>
      </c>
      <c r="H34" s="7"/>
      <c r="I34" s="10">
        <f>I32*I33</f>
        <v>68.718556701030906</v>
      </c>
      <c r="J34" s="10">
        <f>J32*J33</f>
        <v>75.683505154639164</v>
      </c>
    </row>
    <row r="35" spans="1:10" ht="15" thickBot="1" x14ac:dyDescent="0.4">
      <c r="A35" s="61" t="s">
        <v>8</v>
      </c>
      <c r="B35" s="62"/>
      <c r="C35" s="62" t="s">
        <v>23</v>
      </c>
      <c r="D35" s="62"/>
      <c r="E35" s="62"/>
      <c r="F35" s="63"/>
      <c r="G35" s="6" t="s">
        <v>9</v>
      </c>
      <c r="H35" s="7"/>
      <c r="I35" s="11">
        <f>I32/I34</f>
        <v>0.2</v>
      </c>
      <c r="J35" s="11">
        <f>J32/J34</f>
        <v>0.2</v>
      </c>
    </row>
    <row r="36" spans="1:10" x14ac:dyDescent="0.35">
      <c r="A36" s="64"/>
      <c r="B36" s="65"/>
      <c r="C36" s="65"/>
      <c r="D36" s="65"/>
      <c r="E36" s="65"/>
      <c r="F36" s="66"/>
      <c r="G36" s="22"/>
      <c r="H36" s="22"/>
      <c r="I36" s="23"/>
      <c r="J36" s="12"/>
    </row>
    <row r="37" spans="1:10" ht="26.5" x14ac:dyDescent="0.35">
      <c r="A37" s="15" t="s">
        <v>10</v>
      </c>
      <c r="B37" s="15" t="s">
        <v>11</v>
      </c>
      <c r="C37" s="15" t="s">
        <v>12</v>
      </c>
      <c r="D37" s="15" t="s">
        <v>13</v>
      </c>
      <c r="E37" s="15" t="s">
        <v>14</v>
      </c>
      <c r="F37" s="15" t="s">
        <v>15</v>
      </c>
      <c r="G37" s="15" t="s">
        <v>16</v>
      </c>
      <c r="H37" s="15" t="s">
        <v>17</v>
      </c>
      <c r="I37" s="15" t="s">
        <v>18</v>
      </c>
      <c r="J37" s="20" t="s">
        <v>108</v>
      </c>
    </row>
    <row r="38" spans="1:10" x14ac:dyDescent="0.35">
      <c r="A38" s="25" t="s">
        <v>24</v>
      </c>
      <c r="B38" s="26"/>
      <c r="C38" s="27">
        <v>1.5</v>
      </c>
      <c r="D38" s="28">
        <v>0.1</v>
      </c>
      <c r="E38" s="28">
        <v>1.4</v>
      </c>
      <c r="F38" s="28" t="s">
        <v>19</v>
      </c>
      <c r="G38" s="28">
        <f>C38/E38</f>
        <v>1.0714285714285714</v>
      </c>
      <c r="H38" s="29">
        <v>14.44</v>
      </c>
      <c r="I38" s="30">
        <f>E38*H38</f>
        <v>20.215999999999998</v>
      </c>
      <c r="J38" s="60">
        <f>C38*H38</f>
        <v>21.66</v>
      </c>
    </row>
    <row r="39" spans="1:10" x14ac:dyDescent="0.35">
      <c r="A39" s="25" t="s">
        <v>57</v>
      </c>
      <c r="B39" s="26"/>
      <c r="C39" s="27">
        <v>0.3</v>
      </c>
      <c r="D39" s="28">
        <v>0.05</v>
      </c>
      <c r="E39" s="28">
        <v>0.25</v>
      </c>
      <c r="F39" s="28" t="s">
        <v>19</v>
      </c>
      <c r="G39" s="28">
        <f>C39/E39</f>
        <v>1.2</v>
      </c>
      <c r="H39" s="29">
        <v>8.6999999999999993</v>
      </c>
      <c r="I39" s="30">
        <f>E39*H39</f>
        <v>2.1749999999999998</v>
      </c>
      <c r="J39" s="60">
        <f t="shared" ref="J39:J46" si="7">C39*H39</f>
        <v>2.61</v>
      </c>
    </row>
    <row r="40" spans="1:10" x14ac:dyDescent="0.35">
      <c r="A40" s="25" t="s">
        <v>91</v>
      </c>
      <c r="B40" s="26"/>
      <c r="C40" s="27">
        <v>0.4</v>
      </c>
      <c r="D40" s="28">
        <v>0.1</v>
      </c>
      <c r="E40" s="28">
        <v>0.3</v>
      </c>
      <c r="F40" s="28" t="s">
        <v>19</v>
      </c>
      <c r="G40" s="28">
        <f t="shared" ref="G40:G41" si="8">C40/E40</f>
        <v>1.3333333333333335</v>
      </c>
      <c r="H40" s="29">
        <v>14.99</v>
      </c>
      <c r="I40" s="30">
        <f t="shared" ref="I40:I42" si="9">E40*H40</f>
        <v>4.4969999999999999</v>
      </c>
      <c r="J40" s="60">
        <f t="shared" si="7"/>
        <v>5.9960000000000004</v>
      </c>
    </row>
    <row r="41" spans="1:10" x14ac:dyDescent="0.35">
      <c r="A41" s="25" t="s">
        <v>27</v>
      </c>
      <c r="B41" s="26"/>
      <c r="C41" s="27">
        <v>0.05</v>
      </c>
      <c r="D41" s="28">
        <v>0</v>
      </c>
      <c r="E41" s="28">
        <v>0.05</v>
      </c>
      <c r="F41" s="28" t="s">
        <v>19</v>
      </c>
      <c r="G41" s="28">
        <f t="shared" si="8"/>
        <v>1</v>
      </c>
      <c r="H41" s="29">
        <v>20.5</v>
      </c>
      <c r="I41" s="30">
        <f t="shared" si="9"/>
        <v>1.0250000000000001</v>
      </c>
      <c r="J41" s="60">
        <f t="shared" si="7"/>
        <v>1.0250000000000001</v>
      </c>
    </row>
    <row r="42" spans="1:10" x14ac:dyDescent="0.35">
      <c r="A42" s="25" t="s">
        <v>92</v>
      </c>
      <c r="B42" s="26"/>
      <c r="C42" s="27">
        <v>0.2</v>
      </c>
      <c r="D42" s="28">
        <v>0</v>
      </c>
      <c r="E42" s="28">
        <v>0.2</v>
      </c>
      <c r="F42" s="28" t="s">
        <v>19</v>
      </c>
      <c r="G42" s="28">
        <f t="shared" ref="G42" si="10">C42/E42</f>
        <v>1</v>
      </c>
      <c r="H42" s="29">
        <v>12.88</v>
      </c>
      <c r="I42" s="30">
        <f t="shared" si="9"/>
        <v>2.5760000000000005</v>
      </c>
      <c r="J42" s="60">
        <f t="shared" si="7"/>
        <v>2.5760000000000005</v>
      </c>
    </row>
    <row r="43" spans="1:10" x14ac:dyDescent="0.35">
      <c r="A43" s="44" t="s">
        <v>93</v>
      </c>
      <c r="B43" s="32"/>
      <c r="C43" s="42">
        <v>0.1</v>
      </c>
      <c r="D43" s="34">
        <v>0</v>
      </c>
      <c r="E43" s="33">
        <v>0.1</v>
      </c>
      <c r="F43" s="33" t="s">
        <v>19</v>
      </c>
      <c r="G43" s="35">
        <f>C43/E43</f>
        <v>1</v>
      </c>
      <c r="H43" s="36">
        <v>14.38</v>
      </c>
      <c r="I43" s="37">
        <f>E43*H43</f>
        <v>1.4380000000000002</v>
      </c>
      <c r="J43" s="60">
        <f t="shared" si="7"/>
        <v>1.4380000000000002</v>
      </c>
    </row>
    <row r="44" spans="1:10" x14ac:dyDescent="0.35">
      <c r="A44" s="44" t="s">
        <v>51</v>
      </c>
      <c r="B44" s="32"/>
      <c r="C44" s="42">
        <v>0.05</v>
      </c>
      <c r="D44" s="34">
        <v>0</v>
      </c>
      <c r="E44" s="33">
        <v>0.05</v>
      </c>
      <c r="F44" s="36" t="s">
        <v>19</v>
      </c>
      <c r="G44" s="35">
        <f>C44/E44</f>
        <v>1</v>
      </c>
      <c r="H44" s="36">
        <v>25.67</v>
      </c>
      <c r="I44" s="37">
        <f>E44*H44</f>
        <v>1.2835000000000001</v>
      </c>
      <c r="J44" s="60">
        <f t="shared" si="7"/>
        <v>1.2835000000000001</v>
      </c>
    </row>
    <row r="45" spans="1:10" x14ac:dyDescent="0.35">
      <c r="A45" s="44" t="s">
        <v>59</v>
      </c>
      <c r="B45" s="32"/>
      <c r="C45" s="42">
        <v>0.05</v>
      </c>
      <c r="D45" s="34">
        <v>0</v>
      </c>
      <c r="E45" s="33">
        <v>0.05</v>
      </c>
      <c r="F45" s="36" t="s">
        <v>19</v>
      </c>
      <c r="G45" s="35">
        <f>C45/E45</f>
        <v>1</v>
      </c>
      <c r="H45" s="36">
        <v>1</v>
      </c>
      <c r="I45" s="37">
        <f>E45*H45</f>
        <v>0.05</v>
      </c>
      <c r="J45" s="60">
        <f t="shared" si="7"/>
        <v>0.05</v>
      </c>
    </row>
    <row r="46" spans="1:10" x14ac:dyDescent="0.35">
      <c r="A46" s="44" t="s">
        <v>28</v>
      </c>
      <c r="B46" s="32"/>
      <c r="C46" s="42">
        <v>2.5000000000000001E-2</v>
      </c>
      <c r="D46" s="34">
        <v>0</v>
      </c>
      <c r="E46" s="33">
        <v>2.5000000000000001E-2</v>
      </c>
      <c r="F46" s="36" t="s">
        <v>19</v>
      </c>
      <c r="G46" s="35">
        <f>C46/E46</f>
        <v>1</v>
      </c>
      <c r="H46" s="36">
        <v>2.72</v>
      </c>
      <c r="I46" s="37">
        <f>E46*H46</f>
        <v>6.8000000000000005E-2</v>
      </c>
      <c r="J46" s="60">
        <f t="shared" si="7"/>
        <v>6.8000000000000005E-2</v>
      </c>
    </row>
    <row r="47" spans="1:10" ht="15" thickBot="1" x14ac:dyDescent="0.4">
      <c r="A47" s="45" t="s">
        <v>20</v>
      </c>
      <c r="B47" s="46"/>
      <c r="C47" s="47">
        <f>SUM(C38:C46)</f>
        <v>2.6749999999999998</v>
      </c>
      <c r="D47" s="46"/>
      <c r="E47" s="48">
        <f>SUM(E38:E46)</f>
        <v>2.4249999999999998</v>
      </c>
      <c r="F47" s="47" t="s">
        <v>19</v>
      </c>
      <c r="G47" s="46"/>
      <c r="H47" s="49" t="s">
        <v>21</v>
      </c>
      <c r="I47" s="50">
        <f>SUM(I38:I46)</f>
        <v>33.328499999999991</v>
      </c>
      <c r="J47" s="50">
        <f>SUM(J38:J46)</f>
        <v>36.706499999999991</v>
      </c>
    </row>
    <row r="48" spans="1:10" ht="15" thickBot="1" x14ac:dyDescent="0.4">
      <c r="A48" s="24"/>
      <c r="B48" s="67"/>
      <c r="C48" s="68">
        <v>0.02</v>
      </c>
      <c r="D48" s="68">
        <v>0</v>
      </c>
      <c r="E48" s="68">
        <v>0.02</v>
      </c>
      <c r="F48" s="68" t="s">
        <v>30</v>
      </c>
      <c r="G48" s="68">
        <f>C48/E48</f>
        <v>1</v>
      </c>
      <c r="H48" s="68"/>
      <c r="I48" s="69">
        <f>E48*H48</f>
        <v>0</v>
      </c>
      <c r="J48" s="9"/>
    </row>
    <row r="51" spans="1:10" x14ac:dyDescent="0.35">
      <c r="A51" s="86" t="s">
        <v>0</v>
      </c>
      <c r="B51" s="86"/>
      <c r="C51" s="86" t="s">
        <v>22</v>
      </c>
      <c r="D51" s="86"/>
      <c r="E51" s="86"/>
      <c r="F51" s="86"/>
      <c r="G51" s="1" t="s">
        <v>1</v>
      </c>
      <c r="H51" s="2"/>
      <c r="I51" s="58">
        <f>I61</f>
        <v>41.796446610434238</v>
      </c>
      <c r="J51" s="58">
        <f>J61</f>
        <v>45.518039393939382</v>
      </c>
    </row>
    <row r="52" spans="1:10" ht="15" thickBot="1" x14ac:dyDescent="0.4">
      <c r="A52" s="70" t="s">
        <v>2</v>
      </c>
      <c r="B52" s="71"/>
      <c r="C52" s="72" t="s">
        <v>94</v>
      </c>
      <c r="D52" s="73"/>
      <c r="E52" s="73"/>
      <c r="F52" s="74"/>
      <c r="G52" s="3" t="s">
        <v>3</v>
      </c>
      <c r="H52" s="4"/>
      <c r="I52" s="5">
        <f>I51/C54</f>
        <v>11.610124058453955</v>
      </c>
      <c r="J52" s="5">
        <f>J51/C54</f>
        <v>12.643899831649827</v>
      </c>
    </row>
    <row r="53" spans="1:10" ht="15" thickBot="1" x14ac:dyDescent="0.4">
      <c r="A53" s="75" t="s">
        <v>4</v>
      </c>
      <c r="B53" s="76"/>
      <c r="C53" s="77">
        <f>E61/C54</f>
        <v>1</v>
      </c>
      <c r="D53" s="78"/>
      <c r="E53" s="78"/>
      <c r="F53" s="79"/>
      <c r="G53" s="6" t="s">
        <v>5</v>
      </c>
      <c r="H53" s="7"/>
      <c r="I53" s="8">
        <v>5</v>
      </c>
      <c r="J53" s="8">
        <v>5</v>
      </c>
    </row>
    <row r="54" spans="1:10" ht="15" thickBot="1" x14ac:dyDescent="0.4">
      <c r="A54" s="80" t="s">
        <v>6</v>
      </c>
      <c r="B54" s="81"/>
      <c r="C54" s="82">
        <f>E61</f>
        <v>3.6</v>
      </c>
      <c r="D54" s="83"/>
      <c r="E54" s="83"/>
      <c r="F54" s="84"/>
      <c r="G54" s="6" t="s">
        <v>7</v>
      </c>
      <c r="H54" s="7"/>
      <c r="I54" s="10">
        <f>I52*I53</f>
        <v>58.050620292269777</v>
      </c>
      <c r="J54" s="10">
        <f>J52*J53</f>
        <v>63.219499158249135</v>
      </c>
    </row>
    <row r="55" spans="1:10" ht="15" thickBot="1" x14ac:dyDescent="0.4">
      <c r="A55" s="61" t="s">
        <v>8</v>
      </c>
      <c r="B55" s="62"/>
      <c r="C55" s="62" t="s">
        <v>23</v>
      </c>
      <c r="D55" s="62"/>
      <c r="E55" s="62"/>
      <c r="F55" s="63"/>
      <c r="G55" s="6" t="s">
        <v>9</v>
      </c>
      <c r="H55" s="7"/>
      <c r="I55" s="11">
        <f>I52/I54</f>
        <v>0.2</v>
      </c>
      <c r="J55" s="11">
        <f>J52/J54</f>
        <v>0.2</v>
      </c>
    </row>
    <row r="56" spans="1:10" x14ac:dyDescent="0.35">
      <c r="A56" s="64"/>
      <c r="B56" s="65"/>
      <c r="C56" s="65"/>
      <c r="D56" s="65"/>
      <c r="E56" s="65"/>
      <c r="F56" s="66"/>
      <c r="G56" s="22"/>
      <c r="H56" s="22"/>
      <c r="I56" s="23"/>
      <c r="J56" s="12"/>
    </row>
    <row r="57" spans="1:10" ht="26.5" x14ac:dyDescent="0.35">
      <c r="A57" s="15" t="s">
        <v>10</v>
      </c>
      <c r="B57" s="15" t="s">
        <v>11</v>
      </c>
      <c r="C57" s="15" t="s">
        <v>12</v>
      </c>
      <c r="D57" s="15" t="s">
        <v>13</v>
      </c>
      <c r="E57" s="15" t="s">
        <v>14</v>
      </c>
      <c r="F57" s="15" t="s">
        <v>15</v>
      </c>
      <c r="G57" s="15" t="s">
        <v>16</v>
      </c>
      <c r="H57" s="15" t="s">
        <v>17</v>
      </c>
      <c r="I57" s="15" t="s">
        <v>18</v>
      </c>
      <c r="J57" s="20" t="s">
        <v>108</v>
      </c>
    </row>
    <row r="58" spans="1:10" x14ac:dyDescent="0.35">
      <c r="A58" s="25" t="s">
        <v>95</v>
      </c>
      <c r="B58" s="26"/>
      <c r="C58" s="27">
        <v>1.6</v>
      </c>
      <c r="D58" s="28">
        <v>0.1</v>
      </c>
      <c r="E58" s="28">
        <v>1.6</v>
      </c>
      <c r="F58" s="28" t="s">
        <v>19</v>
      </c>
      <c r="G58" s="28">
        <f>C58/E58</f>
        <v>1</v>
      </c>
      <c r="H58" s="29">
        <f>I18</f>
        <v>4.8572121212121218</v>
      </c>
      <c r="I58" s="30">
        <f>E58*H58</f>
        <v>7.7715393939393955</v>
      </c>
      <c r="J58" s="60">
        <f>C58*H58</f>
        <v>7.7715393939393955</v>
      </c>
    </row>
    <row r="59" spans="1:10" x14ac:dyDescent="0.35">
      <c r="A59" s="25" t="s">
        <v>96</v>
      </c>
      <c r="B59" s="26"/>
      <c r="C59" s="27">
        <v>2.4</v>
      </c>
      <c r="D59" s="28">
        <v>0.05</v>
      </c>
      <c r="E59" s="28">
        <v>2.4</v>
      </c>
      <c r="F59" s="28" t="s">
        <v>19</v>
      </c>
      <c r="G59" s="28">
        <f>C59/E59</f>
        <v>1</v>
      </c>
      <c r="H59" s="29">
        <f>I32</f>
        <v>13.743711340206183</v>
      </c>
      <c r="I59" s="30">
        <f>E59*H59</f>
        <v>32.98490721649484</v>
      </c>
      <c r="J59" s="60">
        <f>J47</f>
        <v>36.706499999999991</v>
      </c>
    </row>
    <row r="60" spans="1:10" x14ac:dyDescent="0.35">
      <c r="A60" s="25" t="s">
        <v>87</v>
      </c>
      <c r="B60" s="26"/>
      <c r="C60" s="27">
        <v>2</v>
      </c>
      <c r="D60" s="28">
        <v>0.1</v>
      </c>
      <c r="E60" s="28">
        <v>2</v>
      </c>
      <c r="F60" s="28" t="s">
        <v>97</v>
      </c>
      <c r="G60" s="28">
        <f t="shared" ref="G60" si="11">C60/E60</f>
        <v>1</v>
      </c>
      <c r="H60" s="29">
        <v>0.52</v>
      </c>
      <c r="I60" s="30">
        <f t="shared" ref="I60" si="12">E60*H60</f>
        <v>1.04</v>
      </c>
      <c r="J60" s="60">
        <f t="shared" ref="J60" si="13">C60*H60</f>
        <v>1.04</v>
      </c>
    </row>
    <row r="61" spans="1:10" ht="15" thickBot="1" x14ac:dyDescent="0.4">
      <c r="A61" s="45" t="s">
        <v>20</v>
      </c>
      <c r="B61" s="46"/>
      <c r="C61" s="47">
        <v>4</v>
      </c>
      <c r="D61" s="46"/>
      <c r="E61" s="48">
        <v>3.6</v>
      </c>
      <c r="F61" s="47" t="s">
        <v>19</v>
      </c>
      <c r="G61" s="46"/>
      <c r="H61" s="49" t="s">
        <v>21</v>
      </c>
      <c r="I61" s="50">
        <f>SUM(I58:I60)</f>
        <v>41.796446610434238</v>
      </c>
      <c r="J61" s="50">
        <f>SUM(J58:J60)</f>
        <v>45.518039393939382</v>
      </c>
    </row>
    <row r="62" spans="1:10" ht="15" thickBot="1" x14ac:dyDescent="0.4">
      <c r="A62" s="24"/>
      <c r="B62" s="67"/>
      <c r="C62" s="68">
        <v>0.02</v>
      </c>
      <c r="D62" s="68">
        <v>0</v>
      </c>
      <c r="E62" s="68">
        <v>0.02</v>
      </c>
      <c r="F62" s="68" t="s">
        <v>30</v>
      </c>
      <c r="G62" s="68">
        <f>C62/E62</f>
        <v>1</v>
      </c>
      <c r="H62" s="68"/>
      <c r="I62" s="69">
        <f>E62*H62</f>
        <v>0</v>
      </c>
      <c r="J62" s="9"/>
    </row>
    <row r="63" spans="1:10" ht="26.5" x14ac:dyDescent="0.35">
      <c r="A63" s="53" t="s">
        <v>98</v>
      </c>
    </row>
    <row r="66" spans="1:10" x14ac:dyDescent="0.35">
      <c r="A66" s="86" t="s">
        <v>0</v>
      </c>
      <c r="B66" s="86"/>
      <c r="C66" s="86" t="s">
        <v>22</v>
      </c>
      <c r="D66" s="86"/>
      <c r="E66" s="86"/>
      <c r="F66" s="86"/>
      <c r="G66" s="1" t="s">
        <v>1</v>
      </c>
      <c r="H66" s="2"/>
      <c r="I66" s="58">
        <f>I78</f>
        <v>2.5613000000000006</v>
      </c>
      <c r="J66" s="58">
        <f>J78</f>
        <v>3.9691999999999998</v>
      </c>
    </row>
    <row r="67" spans="1:10" ht="15" thickBot="1" x14ac:dyDescent="0.4">
      <c r="A67" s="70" t="s">
        <v>2</v>
      </c>
      <c r="B67" s="71"/>
      <c r="C67" s="72" t="s">
        <v>103</v>
      </c>
      <c r="D67" s="73"/>
      <c r="E67" s="73"/>
      <c r="F67" s="74"/>
      <c r="G67" s="3" t="s">
        <v>3</v>
      </c>
      <c r="H67" s="4"/>
      <c r="I67" s="5">
        <f>I66/C69</f>
        <v>18.295000000000002</v>
      </c>
      <c r="J67" s="5">
        <f>J66/C69</f>
        <v>28.351428571428567</v>
      </c>
    </row>
    <row r="68" spans="1:10" ht="15" thickBot="1" x14ac:dyDescent="0.4">
      <c r="A68" s="75" t="s">
        <v>4</v>
      </c>
      <c r="B68" s="76"/>
      <c r="C68" s="77">
        <f>E78/C69</f>
        <v>1</v>
      </c>
      <c r="D68" s="78"/>
      <c r="E68" s="78"/>
      <c r="F68" s="79"/>
      <c r="G68" s="6" t="s">
        <v>5</v>
      </c>
      <c r="H68" s="7"/>
      <c r="I68" s="8">
        <v>5</v>
      </c>
      <c r="J68" s="8">
        <v>5</v>
      </c>
    </row>
    <row r="69" spans="1:10" ht="15" thickBot="1" x14ac:dyDescent="0.4">
      <c r="A69" s="80" t="s">
        <v>6</v>
      </c>
      <c r="B69" s="81"/>
      <c r="C69" s="82">
        <f>E78</f>
        <v>0.14000000000000001</v>
      </c>
      <c r="D69" s="83"/>
      <c r="E69" s="83"/>
      <c r="F69" s="84"/>
      <c r="G69" s="6" t="s">
        <v>7</v>
      </c>
      <c r="H69" s="7"/>
      <c r="I69" s="10">
        <f>I67*I68</f>
        <v>91.475000000000009</v>
      </c>
      <c r="J69" s="10">
        <f>J67*J68</f>
        <v>141.75714285714284</v>
      </c>
    </row>
    <row r="70" spans="1:10" ht="15" thickBot="1" x14ac:dyDescent="0.4">
      <c r="A70" s="61" t="s">
        <v>8</v>
      </c>
      <c r="B70" s="62"/>
      <c r="C70" s="62" t="s">
        <v>23</v>
      </c>
      <c r="D70" s="62"/>
      <c r="E70" s="62"/>
      <c r="F70" s="63"/>
      <c r="G70" s="6" t="s">
        <v>9</v>
      </c>
      <c r="H70" s="7"/>
      <c r="I70" s="11">
        <f>I67/I69</f>
        <v>0.2</v>
      </c>
      <c r="J70" s="11">
        <f>J67/J69</f>
        <v>0.19999999999999998</v>
      </c>
    </row>
    <row r="71" spans="1:10" x14ac:dyDescent="0.35">
      <c r="A71" s="64"/>
      <c r="B71" s="65"/>
      <c r="C71" s="65"/>
      <c r="D71" s="65"/>
      <c r="E71" s="65"/>
      <c r="F71" s="66"/>
      <c r="G71" s="22"/>
      <c r="H71" s="22"/>
      <c r="I71" s="23"/>
      <c r="J71" s="12"/>
    </row>
    <row r="72" spans="1:10" ht="26.5" x14ac:dyDescent="0.35">
      <c r="A72" s="15" t="s">
        <v>10</v>
      </c>
      <c r="B72" s="15" t="s">
        <v>11</v>
      </c>
      <c r="C72" s="15" t="s">
        <v>12</v>
      </c>
      <c r="D72" s="15" t="s">
        <v>13</v>
      </c>
      <c r="E72" s="15" t="s">
        <v>14</v>
      </c>
      <c r="F72" s="15" t="s">
        <v>15</v>
      </c>
      <c r="G72" s="15" t="s">
        <v>16</v>
      </c>
      <c r="H72" s="15" t="s">
        <v>17</v>
      </c>
      <c r="I72" s="15" t="s">
        <v>18</v>
      </c>
      <c r="J72" s="20" t="s">
        <v>108</v>
      </c>
    </row>
    <row r="73" spans="1:10" x14ac:dyDescent="0.35">
      <c r="A73" s="25" t="s">
        <v>99</v>
      </c>
      <c r="B73" s="26"/>
      <c r="C73" s="27">
        <v>0.03</v>
      </c>
      <c r="D73" s="28">
        <v>0.05</v>
      </c>
      <c r="E73" s="28">
        <v>2.5000000000000001E-2</v>
      </c>
      <c r="F73" s="28" t="s">
        <v>19</v>
      </c>
      <c r="G73" s="28">
        <f>C73/E73</f>
        <v>1.2</v>
      </c>
      <c r="H73" s="29">
        <v>23.5</v>
      </c>
      <c r="I73" s="30">
        <f>E73*H73</f>
        <v>0.58750000000000002</v>
      </c>
      <c r="J73" s="60">
        <f>C73*H73</f>
        <v>0.70499999999999996</v>
      </c>
    </row>
    <row r="74" spans="1:10" x14ac:dyDescent="0.35">
      <c r="A74" s="25" t="s">
        <v>100</v>
      </c>
      <c r="B74" s="26"/>
      <c r="C74" s="27">
        <v>0.05</v>
      </c>
      <c r="D74" s="28">
        <v>1.4999999999999999E-2</v>
      </c>
      <c r="E74" s="28">
        <v>3.5000000000000003E-2</v>
      </c>
      <c r="F74" s="28" t="s">
        <v>19</v>
      </c>
      <c r="G74" s="28">
        <f>C74/E74</f>
        <v>1.4285714285714286</v>
      </c>
      <c r="H74" s="29">
        <v>28.5</v>
      </c>
      <c r="I74" s="30">
        <f>E74*H74</f>
        <v>0.99750000000000005</v>
      </c>
      <c r="J74" s="60">
        <f t="shared" ref="J74:J77" si="14">C74*H74</f>
        <v>1.425</v>
      </c>
    </row>
    <row r="75" spans="1:10" x14ac:dyDescent="0.35">
      <c r="A75" s="25" t="s">
        <v>101</v>
      </c>
      <c r="B75" s="26"/>
      <c r="C75" s="27">
        <v>0.1</v>
      </c>
      <c r="D75" s="28">
        <v>0.05</v>
      </c>
      <c r="E75" s="28">
        <v>0.05</v>
      </c>
      <c r="F75" s="28" t="s">
        <v>19</v>
      </c>
      <c r="G75" s="28">
        <f t="shared" ref="G75:G77" si="15">C75/E75</f>
        <v>2</v>
      </c>
      <c r="H75" s="29">
        <v>14.99</v>
      </c>
      <c r="I75" s="30">
        <f t="shared" ref="I75:I77" si="16">E75*H75</f>
        <v>0.74950000000000006</v>
      </c>
      <c r="J75" s="60">
        <f t="shared" si="14"/>
        <v>1.4990000000000001</v>
      </c>
    </row>
    <row r="76" spans="1:10" x14ac:dyDescent="0.35">
      <c r="A76" s="25" t="s">
        <v>57</v>
      </c>
      <c r="B76" s="26"/>
      <c r="C76" s="27">
        <v>1.4999999999999999E-2</v>
      </c>
      <c r="D76" s="28">
        <v>5.0000000000000001E-3</v>
      </c>
      <c r="E76" s="28">
        <v>0.01</v>
      </c>
      <c r="F76" s="28" t="s">
        <v>19</v>
      </c>
      <c r="G76" s="28">
        <f t="shared" si="15"/>
        <v>1.5</v>
      </c>
      <c r="H76" s="29">
        <v>8.6999999999999993</v>
      </c>
      <c r="I76" s="30">
        <f t="shared" si="16"/>
        <v>8.6999999999999994E-2</v>
      </c>
      <c r="J76" s="60">
        <f t="shared" si="14"/>
        <v>0.13049999999999998</v>
      </c>
    </row>
    <row r="77" spans="1:10" x14ac:dyDescent="0.35">
      <c r="A77" s="25" t="s">
        <v>102</v>
      </c>
      <c r="B77" s="26"/>
      <c r="C77" s="27">
        <v>0.03</v>
      </c>
      <c r="D77" s="28">
        <v>0.01</v>
      </c>
      <c r="E77" s="28">
        <v>0.02</v>
      </c>
      <c r="F77" s="28" t="s">
        <v>19</v>
      </c>
      <c r="G77" s="28">
        <f t="shared" si="15"/>
        <v>1.5</v>
      </c>
      <c r="H77" s="29">
        <v>6.99</v>
      </c>
      <c r="I77" s="30">
        <f t="shared" si="16"/>
        <v>0.13980000000000001</v>
      </c>
      <c r="J77" s="60">
        <f t="shared" si="14"/>
        <v>0.2097</v>
      </c>
    </row>
    <row r="78" spans="1:10" ht="15" thickBot="1" x14ac:dyDescent="0.4">
      <c r="A78" s="45" t="s">
        <v>20</v>
      </c>
      <c r="B78" s="46"/>
      <c r="C78" s="47">
        <f>SUM(C73:C77)</f>
        <v>0.22500000000000001</v>
      </c>
      <c r="D78" s="46"/>
      <c r="E78" s="48">
        <f>SUM(E73:E77)</f>
        <v>0.14000000000000001</v>
      </c>
      <c r="F78" s="47" t="s">
        <v>19</v>
      </c>
      <c r="G78" s="46"/>
      <c r="H78" s="49" t="s">
        <v>21</v>
      </c>
      <c r="I78" s="50">
        <f>SUM(I73:I77)</f>
        <v>2.5613000000000006</v>
      </c>
      <c r="J78" s="50">
        <f>SUM(J73:J77)</f>
        <v>3.9691999999999998</v>
      </c>
    </row>
    <row r="79" spans="1:10" ht="15" thickBot="1" x14ac:dyDescent="0.4">
      <c r="A79" s="24"/>
      <c r="B79" s="67"/>
      <c r="C79" s="68">
        <v>0.02</v>
      </c>
      <c r="D79" s="68">
        <v>0</v>
      </c>
      <c r="E79" s="68">
        <v>0.02</v>
      </c>
      <c r="F79" s="68" t="s">
        <v>30</v>
      </c>
      <c r="G79" s="68">
        <f>C79/E79</f>
        <v>1</v>
      </c>
      <c r="H79" s="68"/>
      <c r="I79" s="69">
        <f>E79*H79</f>
        <v>0</v>
      </c>
      <c r="J79" s="9"/>
    </row>
  </sheetData>
  <mergeCells count="51">
    <mergeCell ref="A17:B17"/>
    <mergeCell ref="C17:F17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13:I13"/>
    <mergeCell ref="A14:J14"/>
    <mergeCell ref="A18:B18"/>
    <mergeCell ref="C18:F18"/>
    <mergeCell ref="A19:B19"/>
    <mergeCell ref="C19:F19"/>
    <mergeCell ref="A20:B20"/>
    <mergeCell ref="C20:F20"/>
    <mergeCell ref="B48:I48"/>
    <mergeCell ref="A21:F22"/>
    <mergeCell ref="B29:I29"/>
    <mergeCell ref="A31:B31"/>
    <mergeCell ref="C31:F31"/>
    <mergeCell ref="A32:B32"/>
    <mergeCell ref="C32:F32"/>
    <mergeCell ref="A33:B33"/>
    <mergeCell ref="C33:F33"/>
    <mergeCell ref="A34:B34"/>
    <mergeCell ref="C34:F34"/>
    <mergeCell ref="A35:F36"/>
    <mergeCell ref="A54:B54"/>
    <mergeCell ref="C54:F54"/>
    <mergeCell ref="A55:F56"/>
    <mergeCell ref="B62:I62"/>
    <mergeCell ref="A51:B51"/>
    <mergeCell ref="C51:F51"/>
    <mergeCell ref="A52:B52"/>
    <mergeCell ref="C52:F52"/>
    <mergeCell ref="A53:B53"/>
    <mergeCell ref="C53:F53"/>
    <mergeCell ref="A69:B69"/>
    <mergeCell ref="C69:F69"/>
    <mergeCell ref="A70:F71"/>
    <mergeCell ref="B79:I79"/>
    <mergeCell ref="A66:B66"/>
    <mergeCell ref="C66:F66"/>
    <mergeCell ref="A67:B67"/>
    <mergeCell ref="C67:F67"/>
    <mergeCell ref="A68:B68"/>
    <mergeCell ref="C68:F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D969-77CF-43C0-8D11-43A14C6EDE09}">
  <dimension ref="A1:J35"/>
  <sheetViews>
    <sheetView workbookViewId="0">
      <selection activeCell="J2" sqref="J2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I17</f>
        <v>9.1660999999999984</v>
      </c>
      <c r="J1" s="58">
        <f>J17</f>
        <v>9.9135999999999989</v>
      </c>
    </row>
    <row r="2" spans="1:10" ht="15" thickBot="1" x14ac:dyDescent="0.4">
      <c r="A2" s="70" t="s">
        <v>2</v>
      </c>
      <c r="B2" s="71"/>
      <c r="C2" s="72" t="s">
        <v>54</v>
      </c>
      <c r="D2" s="73"/>
      <c r="E2" s="73"/>
      <c r="F2" s="74"/>
      <c r="G2" s="3" t="s">
        <v>3</v>
      </c>
      <c r="H2" s="4"/>
      <c r="I2" s="5">
        <f>I1/C4</f>
        <v>9.1660999999999984</v>
      </c>
      <c r="J2" s="5">
        <f>J1/C4</f>
        <v>9.9135999999999989</v>
      </c>
    </row>
    <row r="3" spans="1:10" ht="15" thickBot="1" x14ac:dyDescent="0.4">
      <c r="A3" s="75" t="s">
        <v>4</v>
      </c>
      <c r="B3" s="76"/>
      <c r="C3" s="77">
        <f>E17/C4</f>
        <v>0.58500000000000008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45.830499999999994</v>
      </c>
      <c r="J4" s="10">
        <f>J2*J3</f>
        <v>49.567999999999998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0.19999999999999998</v>
      </c>
      <c r="J5" s="11">
        <f>J2/J4</f>
        <v>0.19999999999999998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32</v>
      </c>
      <c r="B8" s="26"/>
      <c r="C8" s="27">
        <v>0.1</v>
      </c>
      <c r="D8" s="28">
        <v>0</v>
      </c>
      <c r="E8" s="28">
        <v>0.09</v>
      </c>
      <c r="F8" s="28" t="s">
        <v>19</v>
      </c>
      <c r="G8" s="28">
        <f>C8/E8</f>
        <v>1.1111111111111112</v>
      </c>
      <c r="H8" s="55">
        <v>69.75</v>
      </c>
      <c r="I8" s="30">
        <f>E8*H8</f>
        <v>6.2774999999999999</v>
      </c>
      <c r="J8" s="21">
        <f>C8*H8</f>
        <v>6.9750000000000005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6" si="0">C9*H9</f>
        <v>0.39600000000000002</v>
      </c>
    </row>
    <row r="10" spans="1:10" x14ac:dyDescent="0.35">
      <c r="A10" s="25" t="s">
        <v>33</v>
      </c>
      <c r="B10" s="26"/>
      <c r="C10" s="27">
        <v>0.1</v>
      </c>
      <c r="D10" s="28">
        <v>0</v>
      </c>
      <c r="E10" s="28">
        <v>0.1</v>
      </c>
      <c r="F10" s="28" t="s">
        <v>19</v>
      </c>
      <c r="G10" s="28">
        <f t="shared" ref="G10:G11" si="1">C10/E10</f>
        <v>1</v>
      </c>
      <c r="H10" s="55">
        <v>11.63</v>
      </c>
      <c r="I10" s="30">
        <f t="shared" ref="I10:I11" si="2">E10*H10</f>
        <v>1.163</v>
      </c>
      <c r="J10" s="21">
        <f>C10*12.13</f>
        <v>1.2130000000000001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0.12</v>
      </c>
      <c r="F11" s="28" t="s">
        <v>19</v>
      </c>
      <c r="G11" s="28">
        <f t="shared" si="1"/>
        <v>1</v>
      </c>
      <c r="H11" s="55">
        <v>3.15</v>
      </c>
      <c r="I11" s="30">
        <f t="shared" si="2"/>
        <v>0.378</v>
      </c>
      <c r="J11" s="21">
        <f t="shared" si="0"/>
        <v>0.378</v>
      </c>
    </row>
    <row r="12" spans="1:10" x14ac:dyDescent="0.35">
      <c r="A12" s="31" t="s">
        <v>27</v>
      </c>
      <c r="B12" s="32"/>
      <c r="C12" s="42">
        <v>0.02</v>
      </c>
      <c r="D12" s="34">
        <v>0</v>
      </c>
      <c r="E12" s="33">
        <v>0.02</v>
      </c>
      <c r="F12" s="33" t="s">
        <v>19</v>
      </c>
      <c r="G12" s="35">
        <f>C12/E12</f>
        <v>1</v>
      </c>
      <c r="H12" s="54">
        <v>20.5</v>
      </c>
      <c r="I12" s="37">
        <f>E12*H12</f>
        <v>0.41000000000000003</v>
      </c>
      <c r="J12" s="21">
        <f t="shared" si="0"/>
        <v>0.41000000000000003</v>
      </c>
    </row>
    <row r="13" spans="1:10" x14ac:dyDescent="0.35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0" x14ac:dyDescent="0.35">
      <c r="A14" s="38" t="s">
        <v>37</v>
      </c>
      <c r="B14" s="32"/>
      <c r="C14" s="43">
        <v>0.02</v>
      </c>
      <c r="D14" s="34">
        <v>0</v>
      </c>
      <c r="E14" s="39">
        <v>0.02</v>
      </c>
      <c r="F14" s="39" t="s">
        <v>36</v>
      </c>
      <c r="G14" s="35">
        <f>C14/E14</f>
        <v>1</v>
      </c>
      <c r="H14" s="56">
        <v>7.25</v>
      </c>
      <c r="I14" s="41">
        <f>E14*H14</f>
        <v>0.14499999999999999</v>
      </c>
      <c r="J14" s="21">
        <f t="shared" si="0"/>
        <v>0.14499999999999999</v>
      </c>
    </row>
    <row r="15" spans="1:10" x14ac:dyDescent="0.35">
      <c r="A15" s="38" t="s">
        <v>35</v>
      </c>
      <c r="B15" s="32"/>
      <c r="C15" s="43">
        <v>0.02</v>
      </c>
      <c r="D15" s="34">
        <v>0</v>
      </c>
      <c r="E15" s="39">
        <v>0.02</v>
      </c>
      <c r="F15" s="39" t="s">
        <v>36</v>
      </c>
      <c r="G15" s="35">
        <f>C15/E15</f>
        <v>1</v>
      </c>
      <c r="H15" s="56">
        <v>16.2</v>
      </c>
      <c r="I15" s="41">
        <f>E15*H15</f>
        <v>0.32400000000000001</v>
      </c>
      <c r="J15" s="21">
        <f t="shared" si="0"/>
        <v>0.32400000000000001</v>
      </c>
    </row>
    <row r="16" spans="1:10" ht="15" thickBot="1" x14ac:dyDescent="0.4">
      <c r="A16" s="40" t="s">
        <v>34</v>
      </c>
      <c r="B16" s="39"/>
      <c r="C16" s="43">
        <v>0.01</v>
      </c>
      <c r="D16" s="39">
        <v>0</v>
      </c>
      <c r="E16" s="39">
        <v>0.01</v>
      </c>
      <c r="F16" s="39" t="s">
        <v>30</v>
      </c>
      <c r="G16" s="39">
        <f>C16/E16</f>
        <v>1</v>
      </c>
      <c r="H16" s="57">
        <v>5.9</v>
      </c>
      <c r="I16" s="41">
        <f>E16*H16</f>
        <v>5.9000000000000004E-2</v>
      </c>
      <c r="J16" s="21">
        <f t="shared" si="0"/>
        <v>5.9000000000000004E-2</v>
      </c>
    </row>
    <row r="17" spans="1:10" ht="15" thickBot="1" x14ac:dyDescent="0.4">
      <c r="A17" s="13" t="s">
        <v>20</v>
      </c>
      <c r="B17" s="16"/>
      <c r="C17" s="14">
        <f>SUM(C8:C16)</f>
        <v>0.59500000000000008</v>
      </c>
      <c r="D17" s="16"/>
      <c r="E17" s="17">
        <f>SUM(E8:E16)</f>
        <v>0.58500000000000008</v>
      </c>
      <c r="F17" s="14" t="s">
        <v>19</v>
      </c>
      <c r="G17" s="16"/>
      <c r="H17" s="18" t="s">
        <v>21</v>
      </c>
      <c r="I17" s="19">
        <f>SUM(I8:I16)</f>
        <v>9.1660999999999984</v>
      </c>
      <c r="J17" s="19">
        <f>SUM(J8:J16)</f>
        <v>9.9135999999999989</v>
      </c>
    </row>
    <row r="18" spans="1:10" ht="15" thickBot="1" x14ac:dyDescent="0.4">
      <c r="A18" s="24"/>
      <c r="B18" s="67"/>
      <c r="C18" s="68">
        <v>0.02</v>
      </c>
      <c r="D18" s="68">
        <v>0</v>
      </c>
      <c r="E18" s="68">
        <v>0.02</v>
      </c>
      <c r="F18" s="68" t="s">
        <v>30</v>
      </c>
      <c r="G18" s="68">
        <f>C18/E18</f>
        <v>1</v>
      </c>
      <c r="H18" s="68"/>
      <c r="I18" s="69">
        <f>E18*H18</f>
        <v>0</v>
      </c>
      <c r="J18" s="9"/>
    </row>
    <row r="19" spans="1:10" x14ac:dyDescent="0.35">
      <c r="A19" s="85"/>
      <c r="B19" s="85"/>
      <c r="C19" s="85"/>
      <c r="D19" s="85"/>
      <c r="E19" s="85"/>
      <c r="F19" s="85"/>
      <c r="G19" s="85"/>
      <c r="H19" s="85"/>
      <c r="I19" s="85"/>
      <c r="J19" s="85"/>
    </row>
    <row r="21" spans="1:10" x14ac:dyDescent="0.35">
      <c r="A21" s="86" t="s">
        <v>0</v>
      </c>
      <c r="B21" s="86"/>
      <c r="C21" s="86" t="s">
        <v>22</v>
      </c>
      <c r="D21" s="86"/>
      <c r="E21" s="86"/>
      <c r="F21" s="86"/>
      <c r="G21" s="1" t="s">
        <v>1</v>
      </c>
      <c r="H21" s="2"/>
      <c r="I21" s="58">
        <f>I34</f>
        <v>2.0359499999999997</v>
      </c>
      <c r="J21" s="58">
        <f>J34</f>
        <v>2.1229499999999999</v>
      </c>
    </row>
    <row r="22" spans="1:10" ht="15" thickBot="1" x14ac:dyDescent="0.4">
      <c r="A22" s="70" t="s">
        <v>2</v>
      </c>
      <c r="B22" s="71"/>
      <c r="C22" s="72" t="s">
        <v>135</v>
      </c>
      <c r="D22" s="73"/>
      <c r="E22" s="73"/>
      <c r="F22" s="74"/>
      <c r="G22" s="3" t="s">
        <v>3</v>
      </c>
      <c r="H22" s="4"/>
      <c r="I22" s="5">
        <f>I21/C24</f>
        <v>11.633999999999997</v>
      </c>
      <c r="J22" s="5">
        <f>J21/C24</f>
        <v>12.131142857142855</v>
      </c>
    </row>
    <row r="23" spans="1:10" ht="15" thickBot="1" x14ac:dyDescent="0.4">
      <c r="A23" s="75" t="s">
        <v>4</v>
      </c>
      <c r="B23" s="76"/>
      <c r="C23" s="77">
        <v>1</v>
      </c>
      <c r="D23" s="78"/>
      <c r="E23" s="78"/>
      <c r="F23" s="79"/>
      <c r="G23" s="6" t="s">
        <v>5</v>
      </c>
      <c r="H23" s="7"/>
      <c r="I23" s="8">
        <v>5</v>
      </c>
      <c r="J23" s="8">
        <v>5</v>
      </c>
    </row>
    <row r="24" spans="1:10" ht="15" thickBot="1" x14ac:dyDescent="0.4">
      <c r="A24" s="80" t="s">
        <v>6</v>
      </c>
      <c r="B24" s="81"/>
      <c r="C24" s="82">
        <f>E34/C23</f>
        <v>0.17500000000000002</v>
      </c>
      <c r="D24" s="83"/>
      <c r="E24" s="83"/>
      <c r="F24" s="84"/>
      <c r="G24" s="6" t="s">
        <v>7</v>
      </c>
      <c r="H24" s="7"/>
      <c r="I24" s="10">
        <f>I22*I23</f>
        <v>58.169999999999987</v>
      </c>
      <c r="J24" s="10">
        <f>J22*J23</f>
        <v>60.655714285714275</v>
      </c>
    </row>
    <row r="25" spans="1:10" ht="15" thickBot="1" x14ac:dyDescent="0.4">
      <c r="A25" s="61" t="s">
        <v>8</v>
      </c>
      <c r="B25" s="62"/>
      <c r="C25" s="62" t="s">
        <v>23</v>
      </c>
      <c r="D25" s="62"/>
      <c r="E25" s="62"/>
      <c r="F25" s="63"/>
      <c r="G25" s="6" t="s">
        <v>9</v>
      </c>
      <c r="H25" s="7"/>
      <c r="I25" s="11">
        <f>I22/I24</f>
        <v>0.19999999999999998</v>
      </c>
      <c r="J25" s="11">
        <f>J22/J24</f>
        <v>0.2</v>
      </c>
    </row>
    <row r="26" spans="1:10" x14ac:dyDescent="0.35">
      <c r="A26" s="64"/>
      <c r="B26" s="65"/>
      <c r="C26" s="65"/>
      <c r="D26" s="65"/>
      <c r="E26" s="65"/>
      <c r="F26" s="66"/>
      <c r="G26" s="22"/>
      <c r="H26" s="22"/>
      <c r="I26" s="23"/>
      <c r="J26" s="12"/>
    </row>
    <row r="27" spans="1:10" ht="26.5" x14ac:dyDescent="0.35">
      <c r="A27" s="15" t="s">
        <v>10</v>
      </c>
      <c r="B27" s="15" t="s">
        <v>11</v>
      </c>
      <c r="C27" s="15" t="s">
        <v>12</v>
      </c>
      <c r="D27" s="15" t="s">
        <v>13</v>
      </c>
      <c r="E27" s="15" t="s">
        <v>14</v>
      </c>
      <c r="F27" s="15" t="s">
        <v>15</v>
      </c>
      <c r="G27" s="15" t="s">
        <v>16</v>
      </c>
      <c r="H27" s="15" t="s">
        <v>17</v>
      </c>
      <c r="I27" s="15" t="s">
        <v>18</v>
      </c>
      <c r="J27" s="20" t="s">
        <v>108</v>
      </c>
    </row>
    <row r="28" spans="1:10" x14ac:dyDescent="0.35">
      <c r="A28" s="25" t="s">
        <v>136</v>
      </c>
      <c r="B28" s="26"/>
      <c r="C28" s="27">
        <v>0.08</v>
      </c>
      <c r="D28" s="28">
        <v>0</v>
      </c>
      <c r="E28" s="28">
        <v>0.08</v>
      </c>
      <c r="F28" s="28" t="s">
        <v>19</v>
      </c>
      <c r="G28" s="28">
        <f>C28/E28</f>
        <v>1</v>
      </c>
      <c r="H28" s="55">
        <v>8.6199999999999992</v>
      </c>
      <c r="I28" s="30">
        <f>E28*H28</f>
        <v>0.68959999999999999</v>
      </c>
      <c r="J28" s="21">
        <f>C28*H28</f>
        <v>0.68959999999999999</v>
      </c>
    </row>
    <row r="29" spans="1:10" x14ac:dyDescent="0.35">
      <c r="A29" s="25" t="s">
        <v>137</v>
      </c>
      <c r="B29" s="26"/>
      <c r="C29" s="27">
        <v>0.03</v>
      </c>
      <c r="D29" s="28">
        <v>0</v>
      </c>
      <c r="E29" s="28">
        <v>0.03</v>
      </c>
      <c r="F29" s="28" t="s">
        <v>19</v>
      </c>
      <c r="G29" s="28">
        <f>C29/E29</f>
        <v>1</v>
      </c>
      <c r="H29" s="55">
        <v>22.98</v>
      </c>
      <c r="I29" s="30">
        <f>E29*H29</f>
        <v>0.68940000000000001</v>
      </c>
      <c r="J29" s="21">
        <f t="shared" ref="J29:J33" si="3">C29*H29</f>
        <v>0.68940000000000001</v>
      </c>
    </row>
    <row r="30" spans="1:10" x14ac:dyDescent="0.35">
      <c r="A30" s="25" t="s">
        <v>138</v>
      </c>
      <c r="B30" s="26"/>
      <c r="C30" s="27">
        <v>0.04</v>
      </c>
      <c r="D30" s="28">
        <v>0</v>
      </c>
      <c r="E30" s="28">
        <v>0.03</v>
      </c>
      <c r="F30" s="28" t="s">
        <v>19</v>
      </c>
      <c r="G30" s="28">
        <f t="shared" ref="G30:G31" si="4">C30/E30</f>
        <v>1.3333333333333335</v>
      </c>
      <c r="H30" s="55">
        <v>8.6999999999999993</v>
      </c>
      <c r="I30" s="30">
        <f t="shared" ref="I30:I31" si="5">E30*H30</f>
        <v>0.26099999999999995</v>
      </c>
      <c r="J30" s="21">
        <f t="shared" si="3"/>
        <v>0.34799999999999998</v>
      </c>
    </row>
    <row r="31" spans="1:10" x14ac:dyDescent="0.35">
      <c r="A31" s="25" t="s">
        <v>139</v>
      </c>
      <c r="B31" s="26"/>
      <c r="C31" s="27">
        <v>0.02</v>
      </c>
      <c r="D31" s="28">
        <v>0</v>
      </c>
      <c r="E31" s="28">
        <v>0.02</v>
      </c>
      <c r="F31" s="28" t="s">
        <v>19</v>
      </c>
      <c r="G31" s="28">
        <f t="shared" si="4"/>
        <v>1</v>
      </c>
      <c r="H31" s="55">
        <v>12.88</v>
      </c>
      <c r="I31" s="30">
        <f t="shared" si="5"/>
        <v>0.2576</v>
      </c>
      <c r="J31" s="21">
        <f t="shared" si="3"/>
        <v>0.2576</v>
      </c>
    </row>
    <row r="32" spans="1:10" x14ac:dyDescent="0.35">
      <c r="A32" s="44" t="s">
        <v>140</v>
      </c>
      <c r="B32" s="32"/>
      <c r="C32" s="42">
        <v>5.0000000000000001E-3</v>
      </c>
      <c r="D32" s="34">
        <v>0</v>
      </c>
      <c r="E32" s="33">
        <v>5.0000000000000001E-3</v>
      </c>
      <c r="F32" s="33" t="s">
        <v>19</v>
      </c>
      <c r="G32" s="35">
        <f>C32/E32</f>
        <v>1</v>
      </c>
      <c r="H32" s="54">
        <v>25.67</v>
      </c>
      <c r="I32" s="37">
        <f>E32*H32</f>
        <v>0.12835000000000002</v>
      </c>
      <c r="J32" s="21">
        <f t="shared" si="3"/>
        <v>0.12835000000000002</v>
      </c>
    </row>
    <row r="33" spans="1:10" ht="15" thickBot="1" x14ac:dyDescent="0.4">
      <c r="A33" s="38" t="s">
        <v>141</v>
      </c>
      <c r="B33" s="32"/>
      <c r="C33" s="43">
        <v>0.01</v>
      </c>
      <c r="D33" s="34">
        <v>0</v>
      </c>
      <c r="E33" s="39">
        <v>0.01</v>
      </c>
      <c r="F33" s="39" t="s">
        <v>19</v>
      </c>
      <c r="G33" s="35">
        <f>C33/E33</f>
        <v>1</v>
      </c>
      <c r="H33" s="56">
        <v>1</v>
      </c>
      <c r="I33" s="41">
        <f>E33*H33</f>
        <v>0.01</v>
      </c>
      <c r="J33" s="21">
        <f t="shared" si="3"/>
        <v>0.01</v>
      </c>
    </row>
    <row r="34" spans="1:10" ht="15" thickBot="1" x14ac:dyDescent="0.4">
      <c r="A34" s="13" t="s">
        <v>20</v>
      </c>
      <c r="B34" s="16"/>
      <c r="C34" s="14">
        <f>SUM(C28:C33)</f>
        <v>0.185</v>
      </c>
      <c r="D34" s="16"/>
      <c r="E34" s="17">
        <f>SUM(E28:E33)</f>
        <v>0.17500000000000002</v>
      </c>
      <c r="F34" s="14" t="s">
        <v>19</v>
      </c>
      <c r="G34" s="16"/>
      <c r="H34" s="18" t="s">
        <v>21</v>
      </c>
      <c r="I34" s="19">
        <f>SUM(I28:I33)</f>
        <v>2.0359499999999997</v>
      </c>
      <c r="J34" s="19">
        <f>SUM(J28:J33)</f>
        <v>2.1229499999999999</v>
      </c>
    </row>
    <row r="35" spans="1:10" ht="15" thickBot="1" x14ac:dyDescent="0.4">
      <c r="A35" s="24"/>
      <c r="B35" s="67"/>
      <c r="C35" s="68">
        <v>0.02</v>
      </c>
      <c r="D35" s="68">
        <v>0</v>
      </c>
      <c r="E35" s="68">
        <v>0.02</v>
      </c>
      <c r="F35" s="68" t="s">
        <v>30</v>
      </c>
      <c r="G35" s="68">
        <f>C35/E35</f>
        <v>1</v>
      </c>
      <c r="H35" s="68"/>
      <c r="I35" s="69">
        <f>E35*H35</f>
        <v>0</v>
      </c>
      <c r="J35" s="9"/>
    </row>
  </sheetData>
  <mergeCells count="21">
    <mergeCell ref="A24:B24"/>
    <mergeCell ref="C24:F24"/>
    <mergeCell ref="A25:F26"/>
    <mergeCell ref="B35:I35"/>
    <mergeCell ref="A21:B21"/>
    <mergeCell ref="C21:F21"/>
    <mergeCell ref="A22:B22"/>
    <mergeCell ref="C22:F22"/>
    <mergeCell ref="A23:B23"/>
    <mergeCell ref="C23:F23"/>
    <mergeCell ref="A4:B4"/>
    <mergeCell ref="C4:F4"/>
    <mergeCell ref="A5:F6"/>
    <mergeCell ref="B18:I18"/>
    <mergeCell ref="A19:J19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5E5F-70A6-42BA-80C5-0DD7FA7419FF}">
  <dimension ref="A1:J16"/>
  <sheetViews>
    <sheetView workbookViewId="0">
      <selection activeCell="E10" sqref="E10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I14</f>
        <v>8.2061000000000011</v>
      </c>
      <c r="J1" s="58">
        <f>J14</f>
        <v>8.9211000000000009</v>
      </c>
    </row>
    <row r="2" spans="1:10" ht="15" thickBot="1" x14ac:dyDescent="0.4">
      <c r="A2" s="70" t="s">
        <v>2</v>
      </c>
      <c r="B2" s="71"/>
      <c r="C2" s="72" t="s">
        <v>38</v>
      </c>
      <c r="D2" s="73"/>
      <c r="E2" s="73"/>
      <c r="F2" s="74"/>
      <c r="G2" s="3" t="s">
        <v>3</v>
      </c>
      <c r="H2" s="4"/>
      <c r="I2" s="5">
        <f>I1/C4</f>
        <v>8.2061000000000011</v>
      </c>
      <c r="J2" s="5">
        <f>J1/C4</f>
        <v>8.9211000000000009</v>
      </c>
    </row>
    <row r="3" spans="1:10" ht="15" thickBot="1" x14ac:dyDescent="0.4">
      <c r="A3" s="75" t="s">
        <v>4</v>
      </c>
      <c r="B3" s="76"/>
      <c r="C3" s="77">
        <f>E14/C4</f>
        <v>0.57500000000000007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41.030500000000004</v>
      </c>
      <c r="J4" s="10">
        <f>J2*J3</f>
        <v>44.605500000000006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0.19999999999999998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39</v>
      </c>
      <c r="B8" s="26"/>
      <c r="C8" s="27">
        <v>0.1</v>
      </c>
      <c r="D8" s="28">
        <v>0</v>
      </c>
      <c r="E8" s="28">
        <v>0.1</v>
      </c>
      <c r="F8" s="28" t="s">
        <v>19</v>
      </c>
      <c r="G8" s="28">
        <f>C8/E8</f>
        <v>1</v>
      </c>
      <c r="H8" s="55">
        <v>62.6</v>
      </c>
      <c r="I8" s="30">
        <f>E8*H8</f>
        <v>6.2600000000000007</v>
      </c>
      <c r="J8" s="21">
        <f>C8*H8</f>
        <v>6.2600000000000007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3" si="0">C9*H9</f>
        <v>0.39600000000000002</v>
      </c>
    </row>
    <row r="10" spans="1:10" x14ac:dyDescent="0.35">
      <c r="A10" s="25" t="s">
        <v>40</v>
      </c>
      <c r="B10" s="26"/>
      <c r="C10" s="27">
        <v>0.2</v>
      </c>
      <c r="D10" s="28">
        <v>0</v>
      </c>
      <c r="E10" s="28">
        <v>0.1</v>
      </c>
      <c r="F10" s="28" t="s">
        <v>19</v>
      </c>
      <c r="G10" s="28">
        <f t="shared" ref="G10:G11" si="1">C10/E10</f>
        <v>2</v>
      </c>
      <c r="H10" s="55">
        <v>7.15</v>
      </c>
      <c r="I10" s="30">
        <f t="shared" ref="I10:I11" si="2">E10*H10</f>
        <v>0.71500000000000008</v>
      </c>
      <c r="J10" s="21">
        <f t="shared" si="0"/>
        <v>1.4300000000000002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0.12</v>
      </c>
      <c r="F11" s="28" t="s">
        <v>19</v>
      </c>
      <c r="G11" s="28">
        <f t="shared" si="1"/>
        <v>1</v>
      </c>
      <c r="H11" s="55">
        <v>3.15</v>
      </c>
      <c r="I11" s="30">
        <f t="shared" si="2"/>
        <v>0.378</v>
      </c>
      <c r="J11" s="21">
        <f t="shared" si="0"/>
        <v>0.378</v>
      </c>
    </row>
    <row r="12" spans="1:10" x14ac:dyDescent="0.35">
      <c r="A12" s="44" t="s">
        <v>41</v>
      </c>
      <c r="B12" s="32"/>
      <c r="C12" s="42">
        <v>0.05</v>
      </c>
      <c r="D12" s="34">
        <v>0</v>
      </c>
      <c r="E12" s="33">
        <v>0.05</v>
      </c>
      <c r="F12" s="33" t="s">
        <v>19</v>
      </c>
      <c r="G12" s="35">
        <f>C12/E12</f>
        <v>1</v>
      </c>
      <c r="H12" s="54">
        <v>8.8699999999999992</v>
      </c>
      <c r="I12" s="37">
        <f>E12*H12</f>
        <v>0.44350000000000001</v>
      </c>
      <c r="J12" s="21">
        <f t="shared" si="0"/>
        <v>0.44350000000000001</v>
      </c>
    </row>
    <row r="13" spans="1:10" ht="15" thickBot="1" x14ac:dyDescent="0.4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0" ht="15" thickBot="1" x14ac:dyDescent="0.4">
      <c r="A14" s="13" t="s">
        <v>20</v>
      </c>
      <c r="B14" s="16"/>
      <c r="C14" s="14">
        <f>SUM(C8:C13)</f>
        <v>0.67500000000000004</v>
      </c>
      <c r="D14" s="16"/>
      <c r="E14" s="17">
        <f>SUM(E8:E13)</f>
        <v>0.57500000000000007</v>
      </c>
      <c r="F14" s="14" t="s">
        <v>19</v>
      </c>
      <c r="G14" s="16"/>
      <c r="H14" s="18" t="s">
        <v>21</v>
      </c>
      <c r="I14" s="19">
        <f>SUM(I8:I13)</f>
        <v>8.2061000000000011</v>
      </c>
      <c r="J14" s="19">
        <f>SUM(J8:J13)</f>
        <v>8.9211000000000009</v>
      </c>
    </row>
    <row r="15" spans="1:10" ht="15" thickBot="1" x14ac:dyDescent="0.4">
      <c r="A15" s="24"/>
      <c r="B15" s="67"/>
      <c r="C15" s="68">
        <v>0.02</v>
      </c>
      <c r="D15" s="68">
        <v>0</v>
      </c>
      <c r="E15" s="68">
        <v>0.02</v>
      </c>
      <c r="F15" s="68" t="s">
        <v>30</v>
      </c>
      <c r="G15" s="68">
        <f>C15/E15</f>
        <v>1</v>
      </c>
      <c r="H15" s="68"/>
      <c r="I15" s="69">
        <f>E15*H15</f>
        <v>0</v>
      </c>
      <c r="J15" s="9"/>
    </row>
    <row r="16" spans="1:10" x14ac:dyDescent="0.35">
      <c r="A16" s="85"/>
      <c r="B16" s="85"/>
      <c r="C16" s="85">
        <f>SUM(C8:C15)</f>
        <v>1.37</v>
      </c>
      <c r="D16" s="85">
        <v>0</v>
      </c>
      <c r="E16" s="85">
        <f>SUM(E8:E15)</f>
        <v>1.1700000000000002</v>
      </c>
      <c r="F16" s="85" t="s">
        <v>19</v>
      </c>
      <c r="G16" s="85">
        <f>C16/E16</f>
        <v>1.1709401709401708</v>
      </c>
      <c r="H16" s="85" t="s">
        <v>21</v>
      </c>
      <c r="I16" s="85">
        <f>SUM(I8:I15)</f>
        <v>16.412200000000002</v>
      </c>
      <c r="J16" s="85"/>
    </row>
  </sheetData>
  <mergeCells count="11">
    <mergeCell ref="A4:B4"/>
    <mergeCell ref="C4:F4"/>
    <mergeCell ref="A5:F6"/>
    <mergeCell ref="B15:I15"/>
    <mergeCell ref="A16:J16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BB40-29D0-405E-9C09-413DFC50F38F}">
  <dimension ref="A1:J39"/>
  <sheetViews>
    <sheetView workbookViewId="0">
      <selection activeCell="J26" sqref="J26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I19</f>
        <v>9.0976274436090243</v>
      </c>
      <c r="J1" s="58">
        <f>J19</f>
        <v>17.133727443609025</v>
      </c>
    </row>
    <row r="2" spans="1:10" ht="15" thickBot="1" x14ac:dyDescent="0.4">
      <c r="A2" s="70" t="s">
        <v>2</v>
      </c>
      <c r="B2" s="71"/>
      <c r="C2" s="72" t="s">
        <v>55</v>
      </c>
      <c r="D2" s="73"/>
      <c r="E2" s="73"/>
      <c r="F2" s="74"/>
      <c r="G2" s="3" t="s">
        <v>3</v>
      </c>
      <c r="H2" s="4"/>
      <c r="I2" s="5">
        <f>I1/C4</f>
        <v>9.0976274436090243</v>
      </c>
      <c r="J2" s="5">
        <f>J1/C4</f>
        <v>17.133727443609025</v>
      </c>
    </row>
    <row r="3" spans="1:10" ht="15" thickBot="1" x14ac:dyDescent="0.4">
      <c r="A3" s="75" t="s">
        <v>4</v>
      </c>
      <c r="B3" s="76"/>
      <c r="C3" s="77">
        <f>E19/C4</f>
        <v>0.68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45.488137218045125</v>
      </c>
      <c r="J4" s="10">
        <f>J2*J3</f>
        <v>85.66863721804512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0.19999999999999998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56</v>
      </c>
      <c r="B8" s="26"/>
      <c r="C8" s="27">
        <v>0.16</v>
      </c>
      <c r="D8" s="28">
        <v>0.08</v>
      </c>
      <c r="E8" s="28">
        <v>0.08</v>
      </c>
      <c r="F8" s="28" t="s">
        <v>19</v>
      </c>
      <c r="G8" s="28">
        <f>C8/E8</f>
        <v>2</v>
      </c>
      <c r="H8" s="55">
        <v>49.22</v>
      </c>
      <c r="I8" s="30">
        <f>E8*H8</f>
        <v>3.9376000000000002</v>
      </c>
      <c r="J8" s="21">
        <f>C8*H8</f>
        <v>7.8752000000000004</v>
      </c>
    </row>
    <row r="9" spans="1:10" x14ac:dyDescent="0.35">
      <c r="A9" s="25" t="s">
        <v>57</v>
      </c>
      <c r="B9" s="26"/>
      <c r="C9" s="27">
        <v>7.0000000000000007E-2</v>
      </c>
      <c r="D9" s="28">
        <v>0.02</v>
      </c>
      <c r="E9" s="28">
        <v>0.05</v>
      </c>
      <c r="F9" s="28" t="s">
        <v>19</v>
      </c>
      <c r="G9" s="28">
        <f>C9/E9</f>
        <v>1.4000000000000001</v>
      </c>
      <c r="H9" s="55">
        <v>8.6999999999999993</v>
      </c>
      <c r="I9" s="30">
        <f t="shared" ref="I9:I12" si="0">E9*H9</f>
        <v>0.435</v>
      </c>
      <c r="J9" s="21">
        <f t="shared" ref="J9:J18" si="1">C9*H9</f>
        <v>0.60899999999999999</v>
      </c>
    </row>
    <row r="10" spans="1:10" x14ac:dyDescent="0.35">
      <c r="A10" s="25" t="s">
        <v>58</v>
      </c>
      <c r="B10" s="26"/>
      <c r="C10" s="27">
        <v>0.2</v>
      </c>
      <c r="D10" s="28">
        <v>0.15</v>
      </c>
      <c r="E10" s="28">
        <v>0.05</v>
      </c>
      <c r="F10" s="28" t="s">
        <v>19</v>
      </c>
      <c r="G10" s="28">
        <f t="shared" ref="G10:G12" si="2">C10/E10</f>
        <v>4</v>
      </c>
      <c r="H10" s="55">
        <v>14.99</v>
      </c>
      <c r="I10" s="30">
        <f t="shared" si="0"/>
        <v>0.74950000000000006</v>
      </c>
      <c r="J10" s="21">
        <f t="shared" si="1"/>
        <v>2.9980000000000002</v>
      </c>
    </row>
    <row r="11" spans="1:10" x14ac:dyDescent="0.35">
      <c r="A11" s="25" t="s">
        <v>51</v>
      </c>
      <c r="B11" s="26"/>
      <c r="C11" s="27">
        <v>1.4999999999999999E-2</v>
      </c>
      <c r="D11" s="28">
        <v>0</v>
      </c>
      <c r="E11" s="28">
        <v>1.4999999999999999E-2</v>
      </c>
      <c r="F11" s="28" t="s">
        <v>19</v>
      </c>
      <c r="G11" s="28">
        <f t="shared" si="2"/>
        <v>1</v>
      </c>
      <c r="H11" s="55">
        <v>25.67</v>
      </c>
      <c r="I11" s="30">
        <f t="shared" si="0"/>
        <v>0.38505</v>
      </c>
      <c r="J11" s="21">
        <f t="shared" si="1"/>
        <v>0.38505</v>
      </c>
    </row>
    <row r="12" spans="1:10" x14ac:dyDescent="0.35">
      <c r="A12" s="25" t="s">
        <v>59</v>
      </c>
      <c r="B12" s="26"/>
      <c r="C12" s="27">
        <v>0.04</v>
      </c>
      <c r="D12" s="28">
        <v>0</v>
      </c>
      <c r="E12" s="28">
        <v>0.04</v>
      </c>
      <c r="F12" s="28" t="s">
        <v>19</v>
      </c>
      <c r="G12" s="28">
        <f t="shared" si="2"/>
        <v>1</v>
      </c>
      <c r="H12" s="55">
        <v>1</v>
      </c>
      <c r="I12" s="30">
        <f t="shared" si="0"/>
        <v>0.04</v>
      </c>
      <c r="J12" s="21">
        <f t="shared" si="1"/>
        <v>0.04</v>
      </c>
    </row>
    <row r="13" spans="1:10" x14ac:dyDescent="0.35">
      <c r="A13" s="25" t="s">
        <v>31</v>
      </c>
      <c r="B13" s="26"/>
      <c r="C13" s="27">
        <v>0.2</v>
      </c>
      <c r="D13" s="28">
        <v>0</v>
      </c>
      <c r="E13" s="28">
        <v>0.2</v>
      </c>
      <c r="F13" s="28" t="s">
        <v>19</v>
      </c>
      <c r="G13" s="28">
        <f>C13/E13</f>
        <v>1</v>
      </c>
      <c r="H13" s="55">
        <v>1.98</v>
      </c>
      <c r="I13" s="30">
        <f>E13*H13</f>
        <v>0.39600000000000002</v>
      </c>
      <c r="J13" s="21">
        <f t="shared" si="1"/>
        <v>0.39600000000000002</v>
      </c>
    </row>
    <row r="14" spans="1:10" x14ac:dyDescent="0.35">
      <c r="A14" s="25" t="s">
        <v>61</v>
      </c>
      <c r="B14" s="26"/>
      <c r="C14" s="27">
        <v>0.1</v>
      </c>
      <c r="D14" s="28">
        <v>0</v>
      </c>
      <c r="E14" s="28">
        <v>0.05</v>
      </c>
      <c r="F14" s="28" t="s">
        <v>19</v>
      </c>
      <c r="G14" s="28">
        <f t="shared" ref="G14:G15" si="3">C14/E14</f>
        <v>2</v>
      </c>
      <c r="H14" s="55">
        <v>33.520000000000003</v>
      </c>
      <c r="I14" s="30">
        <f t="shared" ref="I14:I15" si="4">E14*H14</f>
        <v>1.6760000000000002</v>
      </c>
      <c r="J14" s="21">
        <f t="shared" si="1"/>
        <v>3.3520000000000003</v>
      </c>
    </row>
    <row r="15" spans="1:10" x14ac:dyDescent="0.35">
      <c r="A15" s="25" t="s">
        <v>60</v>
      </c>
      <c r="B15" s="26"/>
      <c r="C15" s="27">
        <v>0.12</v>
      </c>
      <c r="D15" s="28">
        <v>0</v>
      </c>
      <c r="E15" s="28">
        <v>0.12</v>
      </c>
      <c r="F15" s="28" t="s">
        <v>19</v>
      </c>
      <c r="G15" s="28">
        <f t="shared" si="3"/>
        <v>1</v>
      </c>
      <c r="H15" s="55">
        <f>I25</f>
        <v>5.0948120300751878</v>
      </c>
      <c r="I15" s="30">
        <f t="shared" si="4"/>
        <v>0.61137744360902246</v>
      </c>
      <c r="J15" s="21">
        <f t="shared" si="1"/>
        <v>0.61137744360902246</v>
      </c>
    </row>
    <row r="16" spans="1:10" x14ac:dyDescent="0.35">
      <c r="A16" s="44" t="s">
        <v>41</v>
      </c>
      <c r="B16" s="32"/>
      <c r="C16" s="42">
        <v>0.05</v>
      </c>
      <c r="D16" s="34">
        <v>0</v>
      </c>
      <c r="E16" s="33">
        <v>0.05</v>
      </c>
      <c r="F16" s="33" t="s">
        <v>19</v>
      </c>
      <c r="G16" s="35">
        <f>C16/E16</f>
        <v>1</v>
      </c>
      <c r="H16" s="54">
        <v>8.8699999999999992</v>
      </c>
      <c r="I16" s="37">
        <f>E16*H16</f>
        <v>0.44350000000000001</v>
      </c>
      <c r="J16" s="21">
        <f t="shared" si="1"/>
        <v>0.44350000000000001</v>
      </c>
    </row>
    <row r="17" spans="1:10" x14ac:dyDescent="0.35">
      <c r="A17" s="38" t="s">
        <v>28</v>
      </c>
      <c r="B17" s="32"/>
      <c r="C17" s="43">
        <v>5.0000000000000001E-3</v>
      </c>
      <c r="D17" s="34">
        <v>0</v>
      </c>
      <c r="E17" s="39">
        <v>5.0000000000000001E-3</v>
      </c>
      <c r="F17" s="39" t="s">
        <v>19</v>
      </c>
      <c r="G17" s="35">
        <f>C17/E17</f>
        <v>1</v>
      </c>
      <c r="H17" s="56">
        <v>2.72</v>
      </c>
      <c r="I17" s="41">
        <f>E17*H17</f>
        <v>1.3600000000000001E-2</v>
      </c>
      <c r="J17" s="21">
        <f t="shared" si="1"/>
        <v>1.3600000000000001E-2</v>
      </c>
    </row>
    <row r="18" spans="1:10" x14ac:dyDescent="0.35">
      <c r="A18" s="38" t="s">
        <v>27</v>
      </c>
      <c r="B18" s="32"/>
      <c r="C18" s="43">
        <v>0.02</v>
      </c>
      <c r="D18" s="34">
        <v>0</v>
      </c>
      <c r="E18" s="39">
        <v>0.02</v>
      </c>
      <c r="F18" s="39" t="s">
        <v>19</v>
      </c>
      <c r="G18" s="35">
        <f>C18/E18</f>
        <v>1</v>
      </c>
      <c r="H18" s="56">
        <v>20.5</v>
      </c>
      <c r="I18" s="41">
        <f>E18*H18</f>
        <v>0.41000000000000003</v>
      </c>
      <c r="J18" s="21">
        <f t="shared" si="1"/>
        <v>0.41000000000000003</v>
      </c>
    </row>
    <row r="19" spans="1:10" ht="15" thickBot="1" x14ac:dyDescent="0.4">
      <c r="A19" s="45" t="s">
        <v>20</v>
      </c>
      <c r="B19" s="46"/>
      <c r="C19" s="47">
        <f>SUM(C8:C18)</f>
        <v>0.98000000000000009</v>
      </c>
      <c r="D19" s="46"/>
      <c r="E19" s="48">
        <f>SUM(E8:E18)</f>
        <v>0.68</v>
      </c>
      <c r="F19" s="47" t="s">
        <v>19</v>
      </c>
      <c r="G19" s="46"/>
      <c r="H19" s="49" t="s">
        <v>21</v>
      </c>
      <c r="I19" s="50">
        <f>SUM(I8:I18)</f>
        <v>9.0976274436090243</v>
      </c>
      <c r="J19" s="50">
        <f>SUM(J8:J18)</f>
        <v>17.133727443609025</v>
      </c>
    </row>
    <row r="20" spans="1:10" ht="15" thickBot="1" x14ac:dyDescent="0.4">
      <c r="A20" s="24"/>
      <c r="B20" s="67"/>
      <c r="C20" s="68">
        <v>0.02</v>
      </c>
      <c r="D20" s="68">
        <v>0</v>
      </c>
      <c r="E20" s="68">
        <v>0.02</v>
      </c>
      <c r="F20" s="68" t="s">
        <v>30</v>
      </c>
      <c r="G20" s="68">
        <f>C20/E20</f>
        <v>1</v>
      </c>
      <c r="H20" s="68"/>
      <c r="I20" s="69">
        <f>E20*H20</f>
        <v>0</v>
      </c>
      <c r="J20" s="9"/>
    </row>
    <row r="21" spans="1:10" x14ac:dyDescent="0.35">
      <c r="A21" s="85"/>
      <c r="B21" s="85"/>
      <c r="C21" s="85">
        <f>SUM(C8:C20)</f>
        <v>1.9800000000000002</v>
      </c>
      <c r="D21" s="85">
        <v>0</v>
      </c>
      <c r="E21" s="85">
        <f>SUM(E8:E20)</f>
        <v>1.3800000000000001</v>
      </c>
      <c r="F21" s="85" t="s">
        <v>19</v>
      </c>
      <c r="G21" s="85">
        <f>C21/E21</f>
        <v>1.4347826086956521</v>
      </c>
      <c r="H21" s="85" t="s">
        <v>21</v>
      </c>
      <c r="I21" s="85">
        <f>SUM(I8:I20)</f>
        <v>18.195254887218049</v>
      </c>
      <c r="J21" s="85"/>
    </row>
    <row r="24" spans="1:10" x14ac:dyDescent="0.35">
      <c r="A24" s="86" t="s">
        <v>0</v>
      </c>
      <c r="B24" s="86"/>
      <c r="C24" s="86" t="s">
        <v>22</v>
      </c>
      <c r="D24" s="86"/>
      <c r="E24" s="86"/>
      <c r="F24" s="86"/>
      <c r="G24" s="1" t="s">
        <v>1</v>
      </c>
      <c r="H24" s="2"/>
      <c r="I24" s="58">
        <f>I38</f>
        <v>6.7760999999999996</v>
      </c>
      <c r="J24" s="58">
        <f>J38</f>
        <v>6.7760999999999996</v>
      </c>
    </row>
    <row r="25" spans="1:10" ht="15" thickBot="1" x14ac:dyDescent="0.4">
      <c r="A25" s="70" t="s">
        <v>2</v>
      </c>
      <c r="B25" s="71"/>
      <c r="C25" s="72" t="s">
        <v>62</v>
      </c>
      <c r="D25" s="73"/>
      <c r="E25" s="73"/>
      <c r="F25" s="74"/>
      <c r="G25" s="3" t="s">
        <v>3</v>
      </c>
      <c r="H25" s="4"/>
      <c r="I25" s="5">
        <f>I24/C27</f>
        <v>5.0948120300751878</v>
      </c>
      <c r="J25" s="5">
        <f>J24/C27</f>
        <v>5.0948120300751878</v>
      </c>
    </row>
    <row r="26" spans="1:10" ht="15" thickBot="1" x14ac:dyDescent="0.4">
      <c r="A26" s="75" t="s">
        <v>4</v>
      </c>
      <c r="B26" s="76"/>
      <c r="C26" s="77">
        <f>E38/C27</f>
        <v>1</v>
      </c>
      <c r="D26" s="78"/>
      <c r="E26" s="78"/>
      <c r="F26" s="79"/>
      <c r="G26" s="6" t="s">
        <v>5</v>
      </c>
      <c r="H26" s="7"/>
      <c r="I26" s="8">
        <v>5</v>
      </c>
      <c r="J26" s="8">
        <v>5</v>
      </c>
    </row>
    <row r="27" spans="1:10" ht="15" thickBot="1" x14ac:dyDescent="0.4">
      <c r="A27" s="80" t="s">
        <v>6</v>
      </c>
      <c r="B27" s="81"/>
      <c r="C27" s="82">
        <f>E38</f>
        <v>1.33</v>
      </c>
      <c r="D27" s="83"/>
      <c r="E27" s="83"/>
      <c r="F27" s="84"/>
      <c r="G27" s="6" t="s">
        <v>7</v>
      </c>
      <c r="H27" s="7"/>
      <c r="I27" s="10">
        <f>I25*I26</f>
        <v>25.474060150375941</v>
      </c>
      <c r="J27" s="10">
        <f>J25*J26</f>
        <v>25.474060150375941</v>
      </c>
    </row>
    <row r="28" spans="1:10" ht="15" thickBot="1" x14ac:dyDescent="0.4">
      <c r="A28" s="61" t="s">
        <v>8</v>
      </c>
      <c r="B28" s="62"/>
      <c r="C28" s="62" t="s">
        <v>23</v>
      </c>
      <c r="D28" s="62"/>
      <c r="E28" s="62"/>
      <c r="F28" s="63"/>
      <c r="G28" s="6" t="s">
        <v>9</v>
      </c>
      <c r="H28" s="7"/>
      <c r="I28" s="11">
        <f>I25/I27</f>
        <v>0.19999999999999998</v>
      </c>
      <c r="J28" s="11">
        <f>J25/J27</f>
        <v>0.19999999999999998</v>
      </c>
    </row>
    <row r="29" spans="1:10" x14ac:dyDescent="0.35">
      <c r="A29" s="64"/>
      <c r="B29" s="65"/>
      <c r="C29" s="65"/>
      <c r="D29" s="65"/>
      <c r="E29" s="65"/>
      <c r="F29" s="66"/>
      <c r="G29" s="22"/>
      <c r="H29" s="22"/>
      <c r="I29" s="23"/>
      <c r="J29" s="12"/>
    </row>
    <row r="30" spans="1:10" ht="26.5" x14ac:dyDescent="0.35">
      <c r="A30" s="15" t="s">
        <v>10</v>
      </c>
      <c r="B30" s="15" t="s">
        <v>11</v>
      </c>
      <c r="C30" s="15" t="s">
        <v>12</v>
      </c>
      <c r="D30" s="15" t="s">
        <v>13</v>
      </c>
      <c r="E30" s="15" t="s">
        <v>14</v>
      </c>
      <c r="F30" s="15" t="s">
        <v>15</v>
      </c>
      <c r="G30" s="15" t="s">
        <v>16</v>
      </c>
      <c r="H30" s="15" t="s">
        <v>17</v>
      </c>
      <c r="I30" s="15" t="s">
        <v>18</v>
      </c>
      <c r="J30" s="20" t="s">
        <v>108</v>
      </c>
    </row>
    <row r="31" spans="1:10" x14ac:dyDescent="0.35">
      <c r="A31" s="25" t="s">
        <v>63</v>
      </c>
      <c r="B31" s="26"/>
      <c r="C31" s="27">
        <v>1</v>
      </c>
      <c r="D31" s="28">
        <v>0</v>
      </c>
      <c r="E31" s="28">
        <v>1</v>
      </c>
      <c r="F31" s="28" t="s">
        <v>19</v>
      </c>
      <c r="G31" s="28">
        <f>C31/E31</f>
        <v>1</v>
      </c>
      <c r="H31" s="55">
        <v>3.15</v>
      </c>
      <c r="I31" s="30">
        <f>E31*H31</f>
        <v>3.15</v>
      </c>
      <c r="J31" s="21">
        <f>C31*H31</f>
        <v>3.15</v>
      </c>
    </row>
    <row r="32" spans="1:10" x14ac:dyDescent="0.35">
      <c r="A32" s="25" t="s">
        <v>64</v>
      </c>
      <c r="B32" s="26"/>
      <c r="C32" s="27">
        <v>0.15</v>
      </c>
      <c r="D32" s="28">
        <v>0</v>
      </c>
      <c r="E32" s="28">
        <v>0.15</v>
      </c>
      <c r="F32" s="28" t="s">
        <v>19</v>
      </c>
      <c r="G32" s="28">
        <f>C32/E32</f>
        <v>1</v>
      </c>
      <c r="H32" s="55">
        <v>5.37</v>
      </c>
      <c r="I32" s="30">
        <f>E32*H32</f>
        <v>0.80549999999999999</v>
      </c>
      <c r="J32" s="21">
        <f t="shared" ref="J32:J37" si="5">C32*H32</f>
        <v>0.80549999999999999</v>
      </c>
    </row>
    <row r="33" spans="1:10" x14ac:dyDescent="0.35">
      <c r="A33" s="25" t="s">
        <v>27</v>
      </c>
      <c r="B33" s="26"/>
      <c r="C33" s="27">
        <v>0.03</v>
      </c>
      <c r="D33" s="28">
        <v>0</v>
      </c>
      <c r="E33" s="28">
        <v>0.03</v>
      </c>
      <c r="F33" s="28" t="s">
        <v>19</v>
      </c>
      <c r="G33" s="28">
        <f t="shared" ref="G33:G35" si="6">C33/E33</f>
        <v>1</v>
      </c>
      <c r="H33" s="55">
        <v>20.5</v>
      </c>
      <c r="I33" s="30">
        <f t="shared" ref="I33:I35" si="7">E33*H33</f>
        <v>0.61499999999999999</v>
      </c>
      <c r="J33" s="21">
        <f t="shared" si="5"/>
        <v>0.61499999999999999</v>
      </c>
    </row>
    <row r="34" spans="1:10" x14ac:dyDescent="0.35">
      <c r="A34" s="25" t="s">
        <v>65</v>
      </c>
      <c r="B34" s="26"/>
      <c r="C34" s="27">
        <v>0.1</v>
      </c>
      <c r="D34" s="28">
        <v>0</v>
      </c>
      <c r="E34" s="28">
        <v>0.1</v>
      </c>
      <c r="F34" s="28" t="s">
        <v>19</v>
      </c>
      <c r="G34" s="28"/>
      <c r="H34" s="55">
        <v>16.45</v>
      </c>
      <c r="I34" s="30">
        <f t="shared" si="7"/>
        <v>1.645</v>
      </c>
      <c r="J34" s="21">
        <f t="shared" si="5"/>
        <v>1.645</v>
      </c>
    </row>
    <row r="35" spans="1:10" x14ac:dyDescent="0.35">
      <c r="A35" s="25" t="s">
        <v>28</v>
      </c>
      <c r="B35" s="26"/>
      <c r="C35" s="27">
        <v>0.01</v>
      </c>
      <c r="D35" s="28">
        <v>0</v>
      </c>
      <c r="E35" s="28">
        <v>0.01</v>
      </c>
      <c r="F35" s="28" t="s">
        <v>19</v>
      </c>
      <c r="G35" s="28">
        <f t="shared" si="6"/>
        <v>1</v>
      </c>
      <c r="H35" s="55">
        <v>2.72</v>
      </c>
      <c r="I35" s="30">
        <f t="shared" si="7"/>
        <v>2.7200000000000002E-2</v>
      </c>
      <c r="J35" s="21">
        <f t="shared" si="5"/>
        <v>2.7200000000000002E-2</v>
      </c>
    </row>
    <row r="36" spans="1:10" x14ac:dyDescent="0.35">
      <c r="A36" s="44" t="s">
        <v>59</v>
      </c>
      <c r="B36" s="32"/>
      <c r="C36" s="42">
        <v>0.02</v>
      </c>
      <c r="D36" s="34">
        <v>0</v>
      </c>
      <c r="E36" s="33">
        <v>0.02</v>
      </c>
      <c r="F36" s="33" t="s">
        <v>19</v>
      </c>
      <c r="G36" s="35">
        <f>C36/E36</f>
        <v>1</v>
      </c>
      <c r="H36" s="54">
        <v>1</v>
      </c>
      <c r="I36" s="37">
        <f>E36*H36</f>
        <v>0.02</v>
      </c>
      <c r="J36" s="21">
        <f t="shared" si="5"/>
        <v>0.02</v>
      </c>
    </row>
    <row r="37" spans="1:10" ht="15" thickBot="1" x14ac:dyDescent="0.4">
      <c r="A37" s="38" t="s">
        <v>51</v>
      </c>
      <c r="B37" s="32"/>
      <c r="C37" s="43">
        <v>0.02</v>
      </c>
      <c r="D37" s="34">
        <v>0</v>
      </c>
      <c r="E37" s="39">
        <v>0.02</v>
      </c>
      <c r="F37" s="39" t="s">
        <v>19</v>
      </c>
      <c r="G37" s="35">
        <f>C37/E37</f>
        <v>1</v>
      </c>
      <c r="H37" s="56">
        <v>25.67</v>
      </c>
      <c r="I37" s="41">
        <f>E37*H37</f>
        <v>0.51340000000000008</v>
      </c>
      <c r="J37" s="21">
        <f t="shared" si="5"/>
        <v>0.51340000000000008</v>
      </c>
    </row>
    <row r="38" spans="1:10" ht="15" thickBot="1" x14ac:dyDescent="0.4">
      <c r="A38" s="13" t="s">
        <v>20</v>
      </c>
      <c r="B38" s="16"/>
      <c r="C38" s="14">
        <f>SUM(C31:C37)</f>
        <v>1.33</v>
      </c>
      <c r="D38" s="16"/>
      <c r="E38" s="17">
        <f>SUM(E31:E37)</f>
        <v>1.33</v>
      </c>
      <c r="F38" s="14" t="s">
        <v>19</v>
      </c>
      <c r="G38" s="16"/>
      <c r="H38" s="18" t="s">
        <v>21</v>
      </c>
      <c r="I38" s="19">
        <f>SUM(I31:I37)</f>
        <v>6.7760999999999996</v>
      </c>
      <c r="J38" s="19">
        <f>SUM(J31:J37)</f>
        <v>6.7760999999999996</v>
      </c>
    </row>
    <row r="39" spans="1:10" ht="15" thickBot="1" x14ac:dyDescent="0.4">
      <c r="A39" s="24"/>
      <c r="B39" s="67"/>
      <c r="C39" s="68">
        <v>0.02</v>
      </c>
      <c r="D39" s="68">
        <v>0</v>
      </c>
      <c r="E39" s="68">
        <v>0.02</v>
      </c>
      <c r="F39" s="68" t="s">
        <v>30</v>
      </c>
      <c r="G39" s="68">
        <f>C39/E39</f>
        <v>1</v>
      </c>
      <c r="H39" s="68"/>
      <c r="I39" s="69">
        <f>E39*H39</f>
        <v>0</v>
      </c>
      <c r="J39" s="9"/>
    </row>
  </sheetData>
  <mergeCells count="21">
    <mergeCell ref="A28:F29"/>
    <mergeCell ref="B39:I39"/>
    <mergeCell ref="A25:B25"/>
    <mergeCell ref="C25:F25"/>
    <mergeCell ref="A26:B26"/>
    <mergeCell ref="C26:F26"/>
    <mergeCell ref="A27:B27"/>
    <mergeCell ref="C27:F27"/>
    <mergeCell ref="A24:B24"/>
    <mergeCell ref="C24:F24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20:I20"/>
    <mergeCell ref="A21:J2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CA6B-403F-4C3E-84BB-9F563163168B}">
  <dimension ref="A1:J19"/>
  <sheetViews>
    <sheetView workbookViewId="0">
      <selection activeCell="J4" sqref="J4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I17</f>
        <v>4.9215500000000008</v>
      </c>
      <c r="J1" s="58">
        <f>J17</f>
        <v>5.4861499999999994</v>
      </c>
    </row>
    <row r="2" spans="1:10" ht="15" thickBot="1" x14ac:dyDescent="0.4">
      <c r="A2" s="70" t="s">
        <v>2</v>
      </c>
      <c r="B2" s="71"/>
      <c r="C2" s="72" t="s">
        <v>69</v>
      </c>
      <c r="D2" s="73"/>
      <c r="E2" s="73"/>
      <c r="F2" s="74"/>
      <c r="G2" s="3" t="s">
        <v>3</v>
      </c>
      <c r="H2" s="4"/>
      <c r="I2" s="5">
        <f>I1/C4</f>
        <v>4.9215500000000008</v>
      </c>
      <c r="J2" s="5">
        <f>J1/C4</f>
        <v>5.4861499999999994</v>
      </c>
    </row>
    <row r="3" spans="1:10" ht="15" thickBot="1" x14ac:dyDescent="0.4">
      <c r="A3" s="75" t="s">
        <v>4</v>
      </c>
      <c r="B3" s="76"/>
      <c r="C3" s="77">
        <f>E17/C4</f>
        <v>0.70000000000000007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24.607750000000003</v>
      </c>
      <c r="J4" s="10">
        <f>J2*J3</f>
        <v>27.430749999999996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66</v>
      </c>
      <c r="B8" s="26"/>
      <c r="C8" s="27">
        <v>0.15</v>
      </c>
      <c r="D8" s="28">
        <v>0.02</v>
      </c>
      <c r="E8" s="28">
        <v>0.12</v>
      </c>
      <c r="F8" s="28" t="s">
        <v>19</v>
      </c>
      <c r="G8" s="28">
        <f>C8/E8</f>
        <v>1.25</v>
      </c>
      <c r="H8" s="55">
        <v>13.02</v>
      </c>
      <c r="I8" s="30">
        <f>E8*H8</f>
        <v>1.5623999999999998</v>
      </c>
      <c r="J8" s="21">
        <f>C8*H8</f>
        <v>1.9529999999999998</v>
      </c>
    </row>
    <row r="9" spans="1:10" x14ac:dyDescent="0.35">
      <c r="A9" s="25" t="s">
        <v>67</v>
      </c>
      <c r="B9" s="26"/>
      <c r="C9" s="27">
        <v>0.15</v>
      </c>
      <c r="D9" s="28">
        <v>0</v>
      </c>
      <c r="E9" s="28">
        <v>0.15</v>
      </c>
      <c r="F9" s="28" t="s">
        <v>19</v>
      </c>
      <c r="G9" s="28">
        <f>C9/E9</f>
        <v>1</v>
      </c>
      <c r="H9" s="55">
        <v>8.81</v>
      </c>
      <c r="I9" s="30">
        <f t="shared" ref="I9:I12" si="0">E9*H9</f>
        <v>1.3215000000000001</v>
      </c>
      <c r="J9" s="21">
        <f t="shared" ref="J9:J16" si="1">C9*H9</f>
        <v>1.3215000000000001</v>
      </c>
    </row>
    <row r="10" spans="1:10" x14ac:dyDescent="0.35">
      <c r="A10" s="25" t="s">
        <v>57</v>
      </c>
      <c r="B10" s="26"/>
      <c r="C10" s="27">
        <v>7.0000000000000007E-2</v>
      </c>
      <c r="D10" s="28">
        <v>0.02</v>
      </c>
      <c r="E10" s="28">
        <v>0.05</v>
      </c>
      <c r="F10" s="28" t="s">
        <v>19</v>
      </c>
      <c r="G10" s="28">
        <f t="shared" ref="G10:G12" si="2">C10/E10</f>
        <v>1.4000000000000001</v>
      </c>
      <c r="H10" s="55">
        <v>8.6999999999999993</v>
      </c>
      <c r="I10" s="30">
        <f t="shared" si="0"/>
        <v>0.435</v>
      </c>
      <c r="J10" s="21">
        <f t="shared" si="1"/>
        <v>0.60899999999999999</v>
      </c>
    </row>
    <row r="11" spans="1:10" x14ac:dyDescent="0.35">
      <c r="A11" s="25" t="s">
        <v>51</v>
      </c>
      <c r="B11" s="26"/>
      <c r="C11" s="27">
        <v>1.4999999999999999E-2</v>
      </c>
      <c r="D11" s="28">
        <v>0</v>
      </c>
      <c r="E11" s="28">
        <v>1.4999999999999999E-2</v>
      </c>
      <c r="F11" s="28" t="s">
        <v>19</v>
      </c>
      <c r="G11" s="28">
        <f t="shared" si="2"/>
        <v>1</v>
      </c>
      <c r="H11" s="55">
        <v>25.67</v>
      </c>
      <c r="I11" s="30">
        <f t="shared" si="0"/>
        <v>0.38505</v>
      </c>
      <c r="J11" s="21">
        <f t="shared" si="1"/>
        <v>0.38505</v>
      </c>
    </row>
    <row r="12" spans="1:10" x14ac:dyDescent="0.35">
      <c r="A12" s="25" t="s">
        <v>59</v>
      </c>
      <c r="B12" s="26"/>
      <c r="C12" s="27">
        <v>0.02</v>
      </c>
      <c r="D12" s="28">
        <v>0</v>
      </c>
      <c r="E12" s="28">
        <v>0.02</v>
      </c>
      <c r="F12" s="28" t="s">
        <v>19</v>
      </c>
      <c r="G12" s="28">
        <f t="shared" si="2"/>
        <v>1</v>
      </c>
      <c r="H12" s="55">
        <v>1</v>
      </c>
      <c r="I12" s="30">
        <f t="shared" si="0"/>
        <v>0.02</v>
      </c>
      <c r="J12" s="21">
        <f t="shared" si="1"/>
        <v>0.02</v>
      </c>
    </row>
    <row r="13" spans="1:10" x14ac:dyDescent="0.35">
      <c r="A13" s="25" t="s">
        <v>31</v>
      </c>
      <c r="B13" s="26"/>
      <c r="C13" s="27">
        <v>0.2</v>
      </c>
      <c r="D13" s="28">
        <v>0</v>
      </c>
      <c r="E13" s="28">
        <v>0.2</v>
      </c>
      <c r="F13" s="28" t="s">
        <v>19</v>
      </c>
      <c r="G13" s="28">
        <f>C13/E13</f>
        <v>1</v>
      </c>
      <c r="H13" s="55">
        <v>1.98</v>
      </c>
      <c r="I13" s="30">
        <f>E13*H13</f>
        <v>0.39600000000000002</v>
      </c>
      <c r="J13" s="21">
        <f t="shared" si="1"/>
        <v>0.39600000000000002</v>
      </c>
    </row>
    <row r="14" spans="1:10" x14ac:dyDescent="0.35">
      <c r="A14" s="25" t="s">
        <v>68</v>
      </c>
      <c r="B14" s="26"/>
      <c r="C14" s="27">
        <v>0.12</v>
      </c>
      <c r="D14" s="28">
        <v>0</v>
      </c>
      <c r="E14" s="28">
        <v>0.12</v>
      </c>
      <c r="F14" s="28" t="s">
        <v>19</v>
      </c>
      <c r="G14" s="28">
        <f t="shared" ref="G14" si="3">C14/E14</f>
        <v>1</v>
      </c>
      <c r="H14" s="55">
        <v>3.15</v>
      </c>
      <c r="I14" s="30">
        <f t="shared" ref="I14" si="4">E14*H14</f>
        <v>0.378</v>
      </c>
      <c r="J14" s="21">
        <f t="shared" si="1"/>
        <v>0.378</v>
      </c>
    </row>
    <row r="15" spans="1:10" x14ac:dyDescent="0.35">
      <c r="A15" s="38" t="s">
        <v>28</v>
      </c>
      <c r="B15" s="32"/>
      <c r="C15" s="43">
        <v>5.0000000000000001E-3</v>
      </c>
      <c r="D15" s="34">
        <v>0</v>
      </c>
      <c r="E15" s="39">
        <v>5.0000000000000001E-3</v>
      </c>
      <c r="F15" s="39" t="s">
        <v>19</v>
      </c>
      <c r="G15" s="35">
        <f>C15/E15</f>
        <v>1</v>
      </c>
      <c r="H15" s="56">
        <v>2.72</v>
      </c>
      <c r="I15" s="41">
        <f>E15*H15</f>
        <v>1.3600000000000001E-2</v>
      </c>
      <c r="J15" s="21">
        <f t="shared" si="1"/>
        <v>1.3600000000000001E-2</v>
      </c>
    </row>
    <row r="16" spans="1:10" x14ac:dyDescent="0.35">
      <c r="A16" s="38" t="s">
        <v>27</v>
      </c>
      <c r="B16" s="32"/>
      <c r="C16" s="43">
        <v>0.02</v>
      </c>
      <c r="D16" s="34">
        <v>0</v>
      </c>
      <c r="E16" s="39">
        <v>0.02</v>
      </c>
      <c r="F16" s="39" t="s">
        <v>19</v>
      </c>
      <c r="G16" s="35">
        <f>C16/E16</f>
        <v>1</v>
      </c>
      <c r="H16" s="56">
        <v>20.5</v>
      </c>
      <c r="I16" s="41">
        <f>E16*H16</f>
        <v>0.41000000000000003</v>
      </c>
      <c r="J16" s="21">
        <f t="shared" si="1"/>
        <v>0.41000000000000003</v>
      </c>
    </row>
    <row r="17" spans="1:10" ht="15" thickBot="1" x14ac:dyDescent="0.4">
      <c r="A17" s="45" t="s">
        <v>20</v>
      </c>
      <c r="B17" s="46"/>
      <c r="C17" s="47">
        <f>SUM(C8:C16)</f>
        <v>0.75</v>
      </c>
      <c r="D17" s="46"/>
      <c r="E17" s="48">
        <f>SUM(E8:E16)</f>
        <v>0.70000000000000007</v>
      </c>
      <c r="F17" s="47" t="s">
        <v>19</v>
      </c>
      <c r="G17" s="46"/>
      <c r="H17" s="49" t="s">
        <v>21</v>
      </c>
      <c r="I17" s="50">
        <f>SUM(I8:I16)</f>
        <v>4.9215500000000008</v>
      </c>
      <c r="J17" s="50">
        <f>SUM(J8:J16)</f>
        <v>5.4861499999999994</v>
      </c>
    </row>
    <row r="18" spans="1:10" ht="15" thickBot="1" x14ac:dyDescent="0.4">
      <c r="A18" s="24"/>
      <c r="B18" s="67"/>
      <c r="C18" s="68">
        <v>0.02</v>
      </c>
      <c r="D18" s="68">
        <v>0</v>
      </c>
      <c r="E18" s="68">
        <v>0.02</v>
      </c>
      <c r="F18" s="68" t="s">
        <v>30</v>
      </c>
      <c r="G18" s="68">
        <f>C18/E18</f>
        <v>1</v>
      </c>
      <c r="H18" s="68"/>
      <c r="I18" s="69">
        <f>E18*H18</f>
        <v>0</v>
      </c>
      <c r="J18" s="9"/>
    </row>
    <row r="19" spans="1:10" x14ac:dyDescent="0.35">
      <c r="A19" s="85"/>
      <c r="B19" s="85"/>
      <c r="C19" s="85">
        <f>SUM(C8:C18)</f>
        <v>1.52</v>
      </c>
      <c r="D19" s="85">
        <v>0</v>
      </c>
      <c r="E19" s="85">
        <f>SUM(E8:E18)</f>
        <v>1.4200000000000002</v>
      </c>
      <c r="F19" s="85" t="s">
        <v>19</v>
      </c>
      <c r="G19" s="85">
        <f>C19/E19</f>
        <v>1.0704225352112675</v>
      </c>
      <c r="H19" s="85" t="s">
        <v>21</v>
      </c>
      <c r="I19" s="85">
        <f>SUM(I8:I18)</f>
        <v>9.8431000000000015</v>
      </c>
      <c r="J19" s="85"/>
    </row>
  </sheetData>
  <mergeCells count="11">
    <mergeCell ref="A4:B4"/>
    <mergeCell ref="C4:F4"/>
    <mergeCell ref="A5:F6"/>
    <mergeCell ref="B18:I18"/>
    <mergeCell ref="A19:J19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4CA5-C614-4973-8408-8998FC0C8F68}">
  <dimension ref="A1:J20"/>
  <sheetViews>
    <sheetView workbookViewId="0">
      <selection activeCell="J4" sqref="J4"/>
    </sheetView>
  </sheetViews>
  <sheetFormatPr defaultRowHeight="14.5" x14ac:dyDescent="0.35"/>
  <cols>
    <col min="1" max="1" width="18.906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I18</f>
        <v>5.4843999999999999</v>
      </c>
      <c r="J1" s="58">
        <f>J18</f>
        <v>5.6787000000000001</v>
      </c>
    </row>
    <row r="2" spans="1:10" ht="15" thickBot="1" x14ac:dyDescent="0.4">
      <c r="A2" s="70" t="s">
        <v>2</v>
      </c>
      <c r="B2" s="71"/>
      <c r="C2" s="72" t="s">
        <v>53</v>
      </c>
      <c r="D2" s="73"/>
      <c r="E2" s="73"/>
      <c r="F2" s="74"/>
      <c r="G2" s="3" t="s">
        <v>3</v>
      </c>
      <c r="H2" s="4"/>
      <c r="I2" s="5">
        <f>I1/C4</f>
        <v>5.4843999999999999</v>
      </c>
      <c r="J2" s="5">
        <f>J1/C4</f>
        <v>5.6787000000000001</v>
      </c>
    </row>
    <row r="3" spans="1:10" ht="15" thickBot="1" x14ac:dyDescent="0.4">
      <c r="A3" s="75" t="s">
        <v>4</v>
      </c>
      <c r="B3" s="76"/>
      <c r="C3" s="77">
        <f>E18/C4</f>
        <v>0.69500000000000017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27.422000000000001</v>
      </c>
      <c r="J4" s="10">
        <f>J2*J3</f>
        <v>28.3935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0.19999999999999998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24</v>
      </c>
      <c r="B8" s="26"/>
      <c r="C8" s="27">
        <v>0.12</v>
      </c>
      <c r="D8" s="28">
        <v>0</v>
      </c>
      <c r="E8" s="28">
        <v>0.1</v>
      </c>
      <c r="F8" s="28" t="s">
        <v>19</v>
      </c>
      <c r="G8" s="28">
        <f>C8/E8</f>
        <v>1.2</v>
      </c>
      <c r="H8" s="55">
        <v>14.44</v>
      </c>
      <c r="I8" s="30">
        <f>E8*H8</f>
        <v>1.444</v>
      </c>
      <c r="J8" s="21">
        <f>C8*H8</f>
        <v>1.7327999999999999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7" si="0">C9*H9</f>
        <v>0.39600000000000002</v>
      </c>
    </row>
    <row r="10" spans="1:10" x14ac:dyDescent="0.35">
      <c r="A10" s="25" t="s">
        <v>25</v>
      </c>
      <c r="B10" s="26"/>
      <c r="C10" s="27">
        <v>0.15</v>
      </c>
      <c r="D10" s="28">
        <v>0</v>
      </c>
      <c r="E10" s="28">
        <v>0.15</v>
      </c>
      <c r="F10" s="28" t="s">
        <v>19</v>
      </c>
      <c r="G10" s="28">
        <f t="shared" ref="G10:G11" si="1">C10/E10</f>
        <v>1</v>
      </c>
      <c r="H10" s="55">
        <v>13.75</v>
      </c>
      <c r="I10" s="30">
        <f t="shared" ref="I10:I11" si="2">E10*H10</f>
        <v>2.0625</v>
      </c>
      <c r="J10" s="21">
        <f t="shared" si="0"/>
        <v>2.0625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0.15</v>
      </c>
      <c r="F11" s="28" t="s">
        <v>19</v>
      </c>
      <c r="G11" s="28">
        <f t="shared" si="1"/>
        <v>0.8</v>
      </c>
      <c r="H11" s="55">
        <v>3.15</v>
      </c>
      <c r="I11" s="30">
        <f t="shared" si="2"/>
        <v>0.47249999999999998</v>
      </c>
      <c r="J11" s="21">
        <f t="shared" si="0"/>
        <v>0.378</v>
      </c>
    </row>
    <row r="12" spans="1:10" x14ac:dyDescent="0.35">
      <c r="A12" s="31" t="s">
        <v>27</v>
      </c>
      <c r="B12" s="32"/>
      <c r="C12" s="42">
        <v>0.02</v>
      </c>
      <c r="D12" s="34">
        <v>0</v>
      </c>
      <c r="E12" s="33">
        <v>0.02</v>
      </c>
      <c r="F12" s="33" t="s">
        <v>19</v>
      </c>
      <c r="G12" s="35">
        <f t="shared" ref="G12:G17" si="3">C12/E12</f>
        <v>1</v>
      </c>
      <c r="H12" s="54">
        <v>20.5</v>
      </c>
      <c r="I12" s="37">
        <f t="shared" ref="I12:I17" si="4">E12*H12</f>
        <v>0.41000000000000003</v>
      </c>
      <c r="J12" s="21">
        <f t="shared" si="0"/>
        <v>0.41000000000000003</v>
      </c>
    </row>
    <row r="13" spans="1:10" x14ac:dyDescent="0.35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 t="shared" si="3"/>
        <v>1</v>
      </c>
      <c r="H13" s="56">
        <v>2.72</v>
      </c>
      <c r="I13" s="41">
        <f t="shared" si="4"/>
        <v>1.3600000000000001E-2</v>
      </c>
      <c r="J13" s="21">
        <f t="shared" si="0"/>
        <v>1.3600000000000001E-2</v>
      </c>
    </row>
    <row r="14" spans="1:10" ht="29" x14ac:dyDescent="0.35">
      <c r="A14" s="38" t="s">
        <v>44</v>
      </c>
      <c r="B14" s="32"/>
      <c r="C14" s="43">
        <v>0.02</v>
      </c>
      <c r="D14" s="34">
        <v>0</v>
      </c>
      <c r="E14" s="39">
        <v>0.02</v>
      </c>
      <c r="F14" s="39"/>
      <c r="G14" s="35">
        <f t="shared" si="3"/>
        <v>1</v>
      </c>
      <c r="H14" s="56">
        <v>7.25</v>
      </c>
      <c r="I14" s="41">
        <f t="shared" si="4"/>
        <v>0.14499999999999999</v>
      </c>
      <c r="J14" s="21">
        <f t="shared" si="0"/>
        <v>0.14499999999999999</v>
      </c>
    </row>
    <row r="15" spans="1:10" x14ac:dyDescent="0.35">
      <c r="A15" s="38" t="s">
        <v>42</v>
      </c>
      <c r="B15" s="32"/>
      <c r="C15" s="43">
        <v>0.01</v>
      </c>
      <c r="D15" s="34">
        <v>0</v>
      </c>
      <c r="E15" s="39">
        <v>0.01</v>
      </c>
      <c r="F15" s="39" t="s">
        <v>19</v>
      </c>
      <c r="G15" s="35">
        <f t="shared" si="3"/>
        <v>1</v>
      </c>
      <c r="H15" s="56">
        <v>5.9</v>
      </c>
      <c r="I15" s="41">
        <f t="shared" si="4"/>
        <v>5.9000000000000004E-2</v>
      </c>
      <c r="J15" s="21">
        <f t="shared" si="0"/>
        <v>5.9000000000000004E-2</v>
      </c>
    </row>
    <row r="16" spans="1:10" x14ac:dyDescent="0.35">
      <c r="A16" s="38" t="s">
        <v>43</v>
      </c>
      <c r="B16" s="32"/>
      <c r="C16" s="43">
        <v>0.02</v>
      </c>
      <c r="D16" s="34">
        <v>0</v>
      </c>
      <c r="E16" s="39">
        <v>0.02</v>
      </c>
      <c r="F16" s="39" t="s">
        <v>19</v>
      </c>
      <c r="G16" s="35">
        <f t="shared" si="3"/>
        <v>1</v>
      </c>
      <c r="H16" s="56">
        <v>16.2</v>
      </c>
      <c r="I16" s="41">
        <f t="shared" si="4"/>
        <v>0.32400000000000001</v>
      </c>
      <c r="J16" s="21">
        <f t="shared" si="0"/>
        <v>0.32400000000000001</v>
      </c>
    </row>
    <row r="17" spans="1:10" ht="15" thickBot="1" x14ac:dyDescent="0.4">
      <c r="A17" s="40" t="s">
        <v>29</v>
      </c>
      <c r="B17" s="39"/>
      <c r="C17" s="43">
        <v>0.02</v>
      </c>
      <c r="D17" s="39">
        <v>0</v>
      </c>
      <c r="E17" s="39">
        <v>0.02</v>
      </c>
      <c r="F17" s="39" t="s">
        <v>30</v>
      </c>
      <c r="G17" s="39">
        <f t="shared" si="3"/>
        <v>1</v>
      </c>
      <c r="H17" s="57">
        <v>7.89</v>
      </c>
      <c r="I17" s="41">
        <f t="shared" si="4"/>
        <v>0.1578</v>
      </c>
      <c r="J17" s="21">
        <f t="shared" si="0"/>
        <v>0.1578</v>
      </c>
    </row>
    <row r="18" spans="1:10" ht="15" thickBot="1" x14ac:dyDescent="0.4">
      <c r="A18" s="13" t="s">
        <v>20</v>
      </c>
      <c r="B18" s="16"/>
      <c r="C18" s="14">
        <f>SUM(C8:C17)</f>
        <v>0.68500000000000005</v>
      </c>
      <c r="D18" s="16"/>
      <c r="E18" s="17">
        <f>SUM(E8:E17)</f>
        <v>0.69500000000000017</v>
      </c>
      <c r="F18" s="14" t="s">
        <v>19</v>
      </c>
      <c r="G18" s="16"/>
      <c r="H18" s="18" t="s">
        <v>21</v>
      </c>
      <c r="I18" s="19">
        <f>SUM(I8:I17)</f>
        <v>5.4843999999999999</v>
      </c>
      <c r="J18" s="19">
        <f>SUM(J8:J17)</f>
        <v>5.6787000000000001</v>
      </c>
    </row>
    <row r="19" spans="1:10" ht="15" thickBot="1" x14ac:dyDescent="0.4">
      <c r="A19" s="24"/>
      <c r="B19" s="67"/>
      <c r="C19" s="68">
        <v>0.02</v>
      </c>
      <c r="D19" s="68">
        <v>0</v>
      </c>
      <c r="E19" s="68">
        <v>0.02</v>
      </c>
      <c r="F19" s="68" t="s">
        <v>30</v>
      </c>
      <c r="G19" s="68">
        <f>C19/E19</f>
        <v>1</v>
      </c>
      <c r="H19" s="68"/>
      <c r="I19" s="69">
        <f>E19*H19</f>
        <v>0</v>
      </c>
      <c r="J19" s="9"/>
    </row>
    <row r="20" spans="1:10" x14ac:dyDescent="0.35">
      <c r="A20" s="85" t="s">
        <v>20</v>
      </c>
      <c r="B20" s="85"/>
      <c r="C20" s="85">
        <f>SUM(C8:C19)</f>
        <v>1.3900000000000001</v>
      </c>
      <c r="D20" s="85">
        <v>0</v>
      </c>
      <c r="E20" s="85">
        <f>SUM(E8:E19)</f>
        <v>1.4100000000000004</v>
      </c>
      <c r="F20" s="85" t="s">
        <v>19</v>
      </c>
      <c r="G20" s="85">
        <f>C20/E20</f>
        <v>0.9858156028368793</v>
      </c>
      <c r="H20" s="85" t="s">
        <v>21</v>
      </c>
      <c r="I20" s="85">
        <f>SUM(I8:I19)</f>
        <v>10.9688</v>
      </c>
      <c r="J20" s="85"/>
    </row>
  </sheetData>
  <mergeCells count="11">
    <mergeCell ref="A4:B4"/>
    <mergeCell ref="C4:F4"/>
    <mergeCell ref="A5:F6"/>
    <mergeCell ref="B19:I19"/>
    <mergeCell ref="A20:J20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J7" sqref="J7"/>
    </sheetView>
  </sheetViews>
  <sheetFormatPr defaultRowHeight="14.5" x14ac:dyDescent="0.35"/>
  <cols>
    <col min="1" max="1" width="18.906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2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I15</f>
        <v>5.6783999999999999</v>
      </c>
      <c r="J1" s="58">
        <f>J15</f>
        <v>5.8727</v>
      </c>
    </row>
    <row r="2" spans="1:12" ht="15" thickBot="1" x14ac:dyDescent="0.4">
      <c r="A2" s="70" t="s">
        <v>2</v>
      </c>
      <c r="B2" s="71"/>
      <c r="C2" s="72" t="s">
        <v>53</v>
      </c>
      <c r="D2" s="73"/>
      <c r="E2" s="73"/>
      <c r="F2" s="74"/>
      <c r="G2" s="3" t="s">
        <v>3</v>
      </c>
      <c r="H2" s="4"/>
      <c r="I2" s="5">
        <f>I1/C4</f>
        <v>5.6783999999999999</v>
      </c>
      <c r="J2" s="5">
        <f>J1/C4</f>
        <v>5.8727</v>
      </c>
    </row>
    <row r="3" spans="1:12" ht="15" thickBot="1" x14ac:dyDescent="0.4">
      <c r="A3" s="75" t="s">
        <v>4</v>
      </c>
      <c r="B3" s="76"/>
      <c r="C3" s="77">
        <f>E15/C4</f>
        <v>0.69500000000000006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2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28.391999999999999</v>
      </c>
      <c r="J4" s="10">
        <f>J2*J3</f>
        <v>29.363500000000002</v>
      </c>
    </row>
    <row r="5" spans="1:12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0.19999999999999998</v>
      </c>
    </row>
    <row r="6" spans="1:12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2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2" x14ac:dyDescent="0.35">
      <c r="A8" s="25" t="s">
        <v>24</v>
      </c>
      <c r="B8" s="26"/>
      <c r="C8" s="27">
        <v>0.17</v>
      </c>
      <c r="D8" s="28">
        <v>0</v>
      </c>
      <c r="E8" s="28">
        <v>0.15</v>
      </c>
      <c r="F8" s="28" t="s">
        <v>19</v>
      </c>
      <c r="G8" s="28">
        <f>C8/E8</f>
        <v>1.1333333333333335</v>
      </c>
      <c r="H8" s="55">
        <v>14.44</v>
      </c>
      <c r="I8" s="30">
        <f>E8*H8</f>
        <v>2.1659999999999999</v>
      </c>
      <c r="J8" s="21">
        <f>C8*H8</f>
        <v>2.4548000000000001</v>
      </c>
      <c r="K8" s="59"/>
      <c r="L8" s="59"/>
    </row>
    <row r="9" spans="1:12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4" si="0">C9*H9</f>
        <v>0.39600000000000002</v>
      </c>
    </row>
    <row r="10" spans="1:12" x14ac:dyDescent="0.35">
      <c r="A10" s="25" t="s">
        <v>25</v>
      </c>
      <c r="B10" s="26"/>
      <c r="C10" s="27">
        <v>0.15</v>
      </c>
      <c r="D10" s="28">
        <v>0</v>
      </c>
      <c r="E10" s="28">
        <v>0.15</v>
      </c>
      <c r="F10" s="28" t="s">
        <v>19</v>
      </c>
      <c r="G10" s="28">
        <f t="shared" ref="G10:G11" si="1">C10/E10</f>
        <v>1</v>
      </c>
      <c r="H10" s="55">
        <v>13.75</v>
      </c>
      <c r="I10" s="30">
        <f t="shared" ref="I10:I11" si="2">E10*H10</f>
        <v>2.0625</v>
      </c>
      <c r="J10" s="21">
        <f t="shared" si="0"/>
        <v>2.0625</v>
      </c>
    </row>
    <row r="11" spans="1:12" x14ac:dyDescent="0.35">
      <c r="A11" s="25" t="s">
        <v>26</v>
      </c>
      <c r="B11" s="26"/>
      <c r="C11" s="27">
        <v>0.12</v>
      </c>
      <c r="D11" s="28">
        <v>0</v>
      </c>
      <c r="E11" s="28">
        <v>0.15</v>
      </c>
      <c r="F11" s="28" t="s">
        <v>19</v>
      </c>
      <c r="G11" s="28">
        <f t="shared" si="1"/>
        <v>0.8</v>
      </c>
      <c r="H11" s="55">
        <v>3.15</v>
      </c>
      <c r="I11" s="30">
        <f t="shared" si="2"/>
        <v>0.47249999999999998</v>
      </c>
      <c r="J11" s="21">
        <f t="shared" si="0"/>
        <v>0.378</v>
      </c>
    </row>
    <row r="12" spans="1:12" x14ac:dyDescent="0.35">
      <c r="A12" s="31" t="s">
        <v>27</v>
      </c>
      <c r="B12" s="32"/>
      <c r="C12" s="42">
        <v>0.02</v>
      </c>
      <c r="D12" s="34">
        <v>0</v>
      </c>
      <c r="E12" s="33">
        <v>0.02</v>
      </c>
      <c r="F12" s="33" t="s">
        <v>19</v>
      </c>
      <c r="G12" s="35">
        <f>C12/E12</f>
        <v>1</v>
      </c>
      <c r="H12" s="54">
        <v>20.5</v>
      </c>
      <c r="I12" s="37">
        <f>E12*H12</f>
        <v>0.41000000000000003</v>
      </c>
      <c r="J12" s="21">
        <f t="shared" si="0"/>
        <v>0.41000000000000003</v>
      </c>
    </row>
    <row r="13" spans="1:12" x14ac:dyDescent="0.35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2" ht="15" thickBot="1" x14ac:dyDescent="0.4">
      <c r="A14" s="40" t="s">
        <v>29</v>
      </c>
      <c r="B14" s="39"/>
      <c r="C14" s="43">
        <v>0.02</v>
      </c>
      <c r="D14" s="39">
        <v>0</v>
      </c>
      <c r="E14" s="39">
        <v>0.02</v>
      </c>
      <c r="F14" s="39" t="s">
        <v>30</v>
      </c>
      <c r="G14" s="39">
        <f>C14/E14</f>
        <v>1</v>
      </c>
      <c r="H14" s="57">
        <v>7.89</v>
      </c>
      <c r="I14" s="41">
        <f>E14*H14</f>
        <v>0.1578</v>
      </c>
      <c r="J14" s="21">
        <f t="shared" si="0"/>
        <v>0.1578</v>
      </c>
    </row>
    <row r="15" spans="1:12" ht="15" thickBot="1" x14ac:dyDescent="0.4">
      <c r="A15" s="13" t="s">
        <v>20</v>
      </c>
      <c r="B15" s="16"/>
      <c r="C15" s="14">
        <f>SUM(C8:C14)</f>
        <v>0.68500000000000005</v>
      </c>
      <c r="D15" s="16"/>
      <c r="E15" s="17">
        <f>SUM(E8:E14)</f>
        <v>0.69500000000000006</v>
      </c>
      <c r="F15" s="14" t="s">
        <v>19</v>
      </c>
      <c r="G15" s="16"/>
      <c r="H15" s="18" t="s">
        <v>21</v>
      </c>
      <c r="I15" s="19">
        <f>SUM(I8:I14)</f>
        <v>5.6783999999999999</v>
      </c>
      <c r="J15" s="19">
        <f>SUM(J8:J14)</f>
        <v>5.8727</v>
      </c>
    </row>
    <row r="16" spans="1:12" ht="15" thickBot="1" x14ac:dyDescent="0.4">
      <c r="A16" s="24"/>
      <c r="B16" s="67"/>
      <c r="C16" s="68">
        <v>0.02</v>
      </c>
      <c r="D16" s="68">
        <v>0</v>
      </c>
      <c r="E16" s="68">
        <v>0.02</v>
      </c>
      <c r="F16" s="68" t="s">
        <v>30</v>
      </c>
      <c r="G16" s="68">
        <f>C16/E16</f>
        <v>1</v>
      </c>
      <c r="H16" s="68"/>
      <c r="I16" s="69">
        <f>E16*H16</f>
        <v>0</v>
      </c>
      <c r="J16" s="9"/>
    </row>
    <row r="17" spans="1:10" x14ac:dyDescent="0.35">
      <c r="A17" s="85" t="s">
        <v>20</v>
      </c>
      <c r="B17" s="85"/>
      <c r="C17" s="85">
        <f>SUM(C8:C16)</f>
        <v>1.3900000000000001</v>
      </c>
      <c r="D17" s="85">
        <v>0</v>
      </c>
      <c r="E17" s="85">
        <f>SUM(E8:E16)</f>
        <v>1.4100000000000001</v>
      </c>
      <c r="F17" s="85" t="s">
        <v>19</v>
      </c>
      <c r="G17" s="85">
        <f>C17/E17</f>
        <v>0.98581560283687941</v>
      </c>
      <c r="H17" s="85" t="s">
        <v>21</v>
      </c>
      <c r="I17" s="85">
        <f>SUM(I8:I16)</f>
        <v>11.3568</v>
      </c>
      <c r="J17" s="85"/>
    </row>
  </sheetData>
  <mergeCells count="11">
    <mergeCell ref="A4:B4"/>
    <mergeCell ref="C4:F4"/>
    <mergeCell ref="A5:F6"/>
    <mergeCell ref="B16:I16"/>
    <mergeCell ref="A17:J17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1A8A-D62F-4D2A-A1B0-42A4EDBCA11B}">
  <dimension ref="A1:J35"/>
  <sheetViews>
    <sheetView workbookViewId="0">
      <selection activeCell="J10" sqref="J10"/>
    </sheetView>
  </sheetViews>
  <sheetFormatPr defaultRowHeight="14.5" x14ac:dyDescent="0.35"/>
  <cols>
    <col min="1" max="1" width="18.906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I15</f>
        <v>6.1206826086956525</v>
      </c>
      <c r="J1" s="58">
        <f>J15</f>
        <v>7.1034000000000006</v>
      </c>
    </row>
    <row r="2" spans="1:10" ht="15" thickBot="1" x14ac:dyDescent="0.4">
      <c r="A2" s="70" t="s">
        <v>2</v>
      </c>
      <c r="B2" s="71"/>
      <c r="C2" s="72" t="s">
        <v>107</v>
      </c>
      <c r="D2" s="73"/>
      <c r="E2" s="73"/>
      <c r="F2" s="74"/>
      <c r="G2" s="3" t="s">
        <v>3</v>
      </c>
      <c r="H2" s="4"/>
      <c r="I2" s="5">
        <f>I1/C4</f>
        <v>6.1206826086956525</v>
      </c>
      <c r="J2" s="5">
        <f>J1/C4</f>
        <v>7.1034000000000006</v>
      </c>
    </row>
    <row r="3" spans="1:10" ht="15" thickBot="1" x14ac:dyDescent="0.4">
      <c r="A3" s="75" t="s">
        <v>4</v>
      </c>
      <c r="B3" s="76"/>
      <c r="C3" s="77">
        <f>E15/C4</f>
        <v>0.69500000000000006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30.603413043478263</v>
      </c>
      <c r="J4" s="10">
        <f>J2*J3</f>
        <v>35.517000000000003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24</v>
      </c>
      <c r="B8" s="26"/>
      <c r="C8" s="27">
        <v>0.15</v>
      </c>
      <c r="D8" s="28">
        <v>0</v>
      </c>
      <c r="E8" s="28">
        <v>0.15</v>
      </c>
      <c r="F8" s="28" t="s">
        <v>19</v>
      </c>
      <c r="G8" s="28">
        <f>C8/E8</f>
        <v>1</v>
      </c>
      <c r="H8" s="55">
        <v>14.44</v>
      </c>
      <c r="I8" s="30">
        <f>C8*H8</f>
        <v>2.1659999999999999</v>
      </c>
      <c r="J8" s="21">
        <f>C8*H8</f>
        <v>2.1659999999999999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4" si="0">C9*H9</f>
        <v>0.39600000000000002</v>
      </c>
    </row>
    <row r="10" spans="1:10" x14ac:dyDescent="0.35">
      <c r="A10" s="25" t="s">
        <v>70</v>
      </c>
      <c r="B10" s="26"/>
      <c r="C10" s="27">
        <v>0.15</v>
      </c>
      <c r="D10" s="28">
        <v>0</v>
      </c>
      <c r="E10" s="28">
        <v>0.15</v>
      </c>
      <c r="F10" s="28" t="s">
        <v>19</v>
      </c>
      <c r="G10" s="28">
        <f t="shared" ref="G10:G11" si="1">C10/E10</f>
        <v>1</v>
      </c>
      <c r="H10" s="55">
        <f>I21</f>
        <v>16.698550724637684</v>
      </c>
      <c r="I10" s="30">
        <f t="shared" ref="I10:I11" si="2">E10*H10</f>
        <v>2.5047826086956526</v>
      </c>
      <c r="J10" s="21">
        <f>C10*23.88</f>
        <v>3.5819999999999999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0.15</v>
      </c>
      <c r="F11" s="28" t="s">
        <v>19</v>
      </c>
      <c r="G11" s="28">
        <f t="shared" si="1"/>
        <v>0.8</v>
      </c>
      <c r="H11" s="55">
        <v>3.15</v>
      </c>
      <c r="I11" s="30">
        <f t="shared" si="2"/>
        <v>0.47249999999999998</v>
      </c>
      <c r="J11" s="21">
        <f t="shared" si="0"/>
        <v>0.378</v>
      </c>
    </row>
    <row r="12" spans="1:10" x14ac:dyDescent="0.35">
      <c r="A12" s="31" t="s">
        <v>27</v>
      </c>
      <c r="B12" s="32"/>
      <c r="C12" s="42">
        <v>0.02</v>
      </c>
      <c r="D12" s="34">
        <v>0</v>
      </c>
      <c r="E12" s="33">
        <v>0.02</v>
      </c>
      <c r="F12" s="33" t="s">
        <v>19</v>
      </c>
      <c r="G12" s="35">
        <f>C12/E12</f>
        <v>1</v>
      </c>
      <c r="H12" s="54">
        <v>20.5</v>
      </c>
      <c r="I12" s="37">
        <f>E12*H12</f>
        <v>0.41000000000000003</v>
      </c>
      <c r="J12" s="21">
        <f t="shared" si="0"/>
        <v>0.41000000000000003</v>
      </c>
    </row>
    <row r="13" spans="1:10" x14ac:dyDescent="0.35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0" ht="15" thickBot="1" x14ac:dyDescent="0.4">
      <c r="A14" s="40" t="s">
        <v>29</v>
      </c>
      <c r="B14" s="39"/>
      <c r="C14" s="43">
        <v>0.02</v>
      </c>
      <c r="D14" s="39">
        <v>0</v>
      </c>
      <c r="E14" s="39">
        <v>0.02</v>
      </c>
      <c r="F14" s="39" t="s">
        <v>30</v>
      </c>
      <c r="G14" s="39">
        <f>C14/E14</f>
        <v>1</v>
      </c>
      <c r="H14" s="57">
        <v>7.89</v>
      </c>
      <c r="I14" s="41">
        <f>E14*H14</f>
        <v>0.1578</v>
      </c>
      <c r="J14" s="21">
        <f t="shared" si="0"/>
        <v>0.1578</v>
      </c>
    </row>
    <row r="15" spans="1:10" ht="15" thickBot="1" x14ac:dyDescent="0.4">
      <c r="A15" s="13" t="s">
        <v>20</v>
      </c>
      <c r="B15" s="16"/>
      <c r="C15" s="14">
        <f>SUM(C8:C14)</f>
        <v>0.66500000000000004</v>
      </c>
      <c r="D15" s="16"/>
      <c r="E15" s="17">
        <f>SUM(E8:E14)</f>
        <v>0.69500000000000006</v>
      </c>
      <c r="F15" s="14" t="s">
        <v>19</v>
      </c>
      <c r="G15" s="16"/>
      <c r="H15" s="18" t="s">
        <v>21</v>
      </c>
      <c r="I15" s="19">
        <f>SUM(I8:I14)</f>
        <v>6.1206826086956525</v>
      </c>
      <c r="J15" s="19">
        <f>SUM(J8:J14)</f>
        <v>7.1034000000000006</v>
      </c>
    </row>
    <row r="16" spans="1:10" ht="15" thickBot="1" x14ac:dyDescent="0.4">
      <c r="A16" s="24"/>
      <c r="B16" s="67"/>
      <c r="C16" s="68">
        <v>0.02</v>
      </c>
      <c r="D16" s="68">
        <v>0</v>
      </c>
      <c r="E16" s="68">
        <v>0.02</v>
      </c>
      <c r="F16" s="68" t="s">
        <v>30</v>
      </c>
      <c r="G16" s="68">
        <f>C16/E16</f>
        <v>1</v>
      </c>
      <c r="H16" s="68"/>
      <c r="I16" s="69">
        <f>E16*H16</f>
        <v>0</v>
      </c>
      <c r="J16" s="9"/>
    </row>
    <row r="17" spans="1:10" x14ac:dyDescent="0.35">
      <c r="A17" s="85"/>
      <c r="B17" s="85"/>
      <c r="C17" s="85">
        <f>SUM(C8:C16)</f>
        <v>1.35</v>
      </c>
      <c r="D17" s="85">
        <v>0</v>
      </c>
      <c r="E17" s="85">
        <f>SUM(E8:E16)</f>
        <v>1.4100000000000001</v>
      </c>
      <c r="F17" s="85" t="s">
        <v>19</v>
      </c>
      <c r="G17" s="85">
        <f>C17/E17</f>
        <v>0.95744680851063824</v>
      </c>
      <c r="H17" s="85" t="s">
        <v>21</v>
      </c>
      <c r="I17" s="85">
        <f>SUM(I8:I16)</f>
        <v>12.241365217391305</v>
      </c>
      <c r="J17" s="85"/>
    </row>
    <row r="20" spans="1:10" x14ac:dyDescent="0.35">
      <c r="A20" s="86" t="s">
        <v>0</v>
      </c>
      <c r="B20" s="86"/>
      <c r="C20" s="86" t="s">
        <v>22</v>
      </c>
      <c r="D20" s="86"/>
      <c r="E20" s="86"/>
      <c r="F20" s="86"/>
      <c r="G20" s="1" t="s">
        <v>1</v>
      </c>
      <c r="H20" s="2"/>
      <c r="I20" s="58">
        <f>I34</f>
        <v>17.283000000000001</v>
      </c>
      <c r="J20" s="58">
        <f>J34</f>
        <v>23.883000000000003</v>
      </c>
    </row>
    <row r="21" spans="1:10" ht="15" thickBot="1" x14ac:dyDescent="0.4">
      <c r="A21" s="70" t="s">
        <v>2</v>
      </c>
      <c r="B21" s="71"/>
      <c r="C21" s="72" t="s">
        <v>74</v>
      </c>
      <c r="D21" s="73"/>
      <c r="E21" s="73"/>
      <c r="F21" s="74"/>
      <c r="G21" s="3" t="s">
        <v>3</v>
      </c>
      <c r="H21" s="4"/>
      <c r="I21" s="5">
        <f>I20/C23</f>
        <v>16.698550724637684</v>
      </c>
      <c r="J21" s="5">
        <f>J20/C23</f>
        <v>23.075362318840583</v>
      </c>
    </row>
    <row r="22" spans="1:10" ht="15" thickBot="1" x14ac:dyDescent="0.4">
      <c r="A22" s="75" t="s">
        <v>4</v>
      </c>
      <c r="B22" s="76"/>
      <c r="C22" s="77">
        <v>1</v>
      </c>
      <c r="D22" s="78"/>
      <c r="E22" s="78"/>
      <c r="F22" s="79"/>
      <c r="G22" s="6" t="s">
        <v>5</v>
      </c>
      <c r="H22" s="7"/>
      <c r="I22" s="8">
        <v>5</v>
      </c>
      <c r="J22" s="8">
        <v>5</v>
      </c>
    </row>
    <row r="23" spans="1:10" ht="15" thickBot="1" x14ac:dyDescent="0.4">
      <c r="A23" s="80" t="s">
        <v>6</v>
      </c>
      <c r="B23" s="81"/>
      <c r="C23" s="82">
        <f>E34/C22</f>
        <v>1.0349999999999999</v>
      </c>
      <c r="D23" s="83"/>
      <c r="E23" s="83"/>
      <c r="F23" s="84"/>
      <c r="G23" s="6" t="s">
        <v>7</v>
      </c>
      <c r="H23" s="7"/>
      <c r="I23" s="10">
        <f>I21*I22</f>
        <v>83.49275362318842</v>
      </c>
      <c r="J23" s="10">
        <f>J21*J22</f>
        <v>115.37681159420291</v>
      </c>
    </row>
    <row r="24" spans="1:10" ht="15" thickBot="1" x14ac:dyDescent="0.4">
      <c r="A24" s="61" t="s">
        <v>8</v>
      </c>
      <c r="B24" s="62"/>
      <c r="C24" s="62" t="s">
        <v>23</v>
      </c>
      <c r="D24" s="62"/>
      <c r="E24" s="62"/>
      <c r="F24" s="63"/>
      <c r="G24" s="6" t="s">
        <v>9</v>
      </c>
      <c r="H24" s="7"/>
      <c r="I24" s="11">
        <f>I21/I23</f>
        <v>0.2</v>
      </c>
      <c r="J24" s="11">
        <f>J21/J23</f>
        <v>0.2</v>
      </c>
    </row>
    <row r="25" spans="1:10" x14ac:dyDescent="0.35">
      <c r="A25" s="64"/>
      <c r="B25" s="65"/>
      <c r="C25" s="65"/>
      <c r="D25" s="65"/>
      <c r="E25" s="65"/>
      <c r="F25" s="66"/>
      <c r="G25" s="22"/>
      <c r="H25" s="22"/>
      <c r="I25" s="23"/>
      <c r="J25" s="12"/>
    </row>
    <row r="26" spans="1:10" ht="26.5" x14ac:dyDescent="0.35">
      <c r="A26" s="15" t="s">
        <v>10</v>
      </c>
      <c r="B26" s="15" t="s">
        <v>11</v>
      </c>
      <c r="C26" s="15" t="s">
        <v>12</v>
      </c>
      <c r="D26" s="15" t="s">
        <v>13</v>
      </c>
      <c r="E26" s="15" t="s">
        <v>14</v>
      </c>
      <c r="F26" s="15" t="s">
        <v>15</v>
      </c>
      <c r="G26" s="15" t="s">
        <v>16</v>
      </c>
      <c r="H26" s="15" t="s">
        <v>17</v>
      </c>
      <c r="I26" s="15" t="s">
        <v>18</v>
      </c>
      <c r="J26" s="20" t="s">
        <v>108</v>
      </c>
    </row>
    <row r="27" spans="1:10" x14ac:dyDescent="0.35">
      <c r="A27" s="25" t="s">
        <v>40</v>
      </c>
      <c r="B27" s="26"/>
      <c r="C27" s="27">
        <v>0.5</v>
      </c>
      <c r="D27" s="28">
        <v>0</v>
      </c>
      <c r="E27" s="28">
        <v>0.43</v>
      </c>
      <c r="F27" s="28" t="s">
        <v>19</v>
      </c>
      <c r="G27" s="28">
        <f>C27/E27</f>
        <v>1.1627906976744187</v>
      </c>
      <c r="H27" s="55">
        <v>7.15</v>
      </c>
      <c r="I27" s="30">
        <f>E27*H27</f>
        <v>3.0745</v>
      </c>
      <c r="J27" s="21">
        <f>C27*H27</f>
        <v>3.5750000000000002</v>
      </c>
    </row>
    <row r="28" spans="1:10" x14ac:dyDescent="0.35">
      <c r="A28" s="25" t="s">
        <v>49</v>
      </c>
      <c r="B28" s="26"/>
      <c r="C28" s="27">
        <v>0.3</v>
      </c>
      <c r="D28" s="28">
        <v>0</v>
      </c>
      <c r="E28" s="28">
        <v>0.25</v>
      </c>
      <c r="F28" s="28" t="s">
        <v>19</v>
      </c>
      <c r="G28" s="28">
        <f>C28/E28</f>
        <v>1.2</v>
      </c>
      <c r="H28" s="55">
        <v>6.99</v>
      </c>
      <c r="I28" s="30">
        <f>E28*H28</f>
        <v>1.7475000000000001</v>
      </c>
      <c r="J28" s="21">
        <f t="shared" ref="J28:J33" si="3">C28*H28</f>
        <v>2.097</v>
      </c>
    </row>
    <row r="29" spans="1:10" x14ac:dyDescent="0.35">
      <c r="A29" s="25" t="s">
        <v>71</v>
      </c>
      <c r="B29" s="26"/>
      <c r="C29" s="27">
        <v>0.3</v>
      </c>
      <c r="D29" s="28">
        <v>0</v>
      </c>
      <c r="E29" s="28">
        <v>0.2</v>
      </c>
      <c r="F29" s="28" t="s">
        <v>19</v>
      </c>
      <c r="G29" s="28">
        <f t="shared" ref="G29:G30" si="4">C29/E29</f>
        <v>1.4999999999999998</v>
      </c>
      <c r="H29" s="55">
        <v>47.5</v>
      </c>
      <c r="I29" s="30">
        <f t="shared" ref="I29:I30" si="5">E29*H29</f>
        <v>9.5</v>
      </c>
      <c r="J29" s="21">
        <f t="shared" si="3"/>
        <v>14.25</v>
      </c>
    </row>
    <row r="30" spans="1:10" x14ac:dyDescent="0.35">
      <c r="A30" s="25" t="s">
        <v>72</v>
      </c>
      <c r="B30" s="26"/>
      <c r="C30" s="27">
        <v>0.2</v>
      </c>
      <c r="D30" s="28">
        <v>0</v>
      </c>
      <c r="E30" s="28">
        <v>0.1</v>
      </c>
      <c r="F30" s="28" t="s">
        <v>19</v>
      </c>
      <c r="G30" s="28">
        <f t="shared" si="4"/>
        <v>2</v>
      </c>
      <c r="H30" s="55">
        <v>10</v>
      </c>
      <c r="I30" s="30">
        <f t="shared" si="5"/>
        <v>1</v>
      </c>
      <c r="J30" s="21">
        <f t="shared" si="3"/>
        <v>2</v>
      </c>
    </row>
    <row r="31" spans="1:10" x14ac:dyDescent="0.35">
      <c r="A31" s="44" t="s">
        <v>51</v>
      </c>
      <c r="B31" s="32"/>
      <c r="C31" s="42">
        <v>0.02</v>
      </c>
      <c r="D31" s="34">
        <v>0</v>
      </c>
      <c r="E31" s="33">
        <v>0.02</v>
      </c>
      <c r="F31" s="33" t="s">
        <v>19</v>
      </c>
      <c r="G31" s="35">
        <f>C31/E31</f>
        <v>1</v>
      </c>
      <c r="H31" s="54">
        <v>25.67</v>
      </c>
      <c r="I31" s="37">
        <f>E31*H31</f>
        <v>0.51340000000000008</v>
      </c>
      <c r="J31" s="21">
        <f t="shared" si="3"/>
        <v>0.51340000000000008</v>
      </c>
    </row>
    <row r="32" spans="1:10" x14ac:dyDescent="0.35">
      <c r="A32" s="38" t="s">
        <v>28</v>
      </c>
      <c r="B32" s="32"/>
      <c r="C32" s="43">
        <v>5.0000000000000001E-3</v>
      </c>
      <c r="D32" s="34">
        <v>0</v>
      </c>
      <c r="E32" s="39">
        <v>5.0000000000000001E-3</v>
      </c>
      <c r="F32" s="39" t="s">
        <v>19</v>
      </c>
      <c r="G32" s="35">
        <f>C32/E32</f>
        <v>1</v>
      </c>
      <c r="H32" s="56">
        <v>2.72</v>
      </c>
      <c r="I32" s="51">
        <f>E32*H32</f>
        <v>1.3600000000000001E-2</v>
      </c>
      <c r="J32" s="21">
        <f t="shared" si="3"/>
        <v>1.3600000000000001E-2</v>
      </c>
    </row>
    <row r="33" spans="1:10" ht="15" thickBot="1" x14ac:dyDescent="0.4">
      <c r="A33" s="40" t="s">
        <v>73</v>
      </c>
      <c r="B33" s="39"/>
      <c r="C33" s="43">
        <v>0.03</v>
      </c>
      <c r="D33" s="39">
        <v>0</v>
      </c>
      <c r="E33" s="39">
        <v>0.03</v>
      </c>
      <c r="F33" s="39" t="s">
        <v>30</v>
      </c>
      <c r="G33" s="39">
        <f>C33/E33</f>
        <v>1</v>
      </c>
      <c r="H33" s="57">
        <v>47.8</v>
      </c>
      <c r="I33" s="51">
        <f>E33*H33</f>
        <v>1.4339999999999999</v>
      </c>
      <c r="J33" s="21">
        <f t="shared" si="3"/>
        <v>1.4339999999999999</v>
      </c>
    </row>
    <row r="34" spans="1:10" ht="15" thickBot="1" x14ac:dyDescent="0.4">
      <c r="A34" s="13" t="s">
        <v>20</v>
      </c>
      <c r="B34" s="16"/>
      <c r="C34" s="14">
        <f>SUM(C27:C33)</f>
        <v>1.355</v>
      </c>
      <c r="D34" s="16"/>
      <c r="E34" s="17">
        <f>SUM(E27:E33)</f>
        <v>1.0349999999999999</v>
      </c>
      <c r="F34" s="14" t="s">
        <v>19</v>
      </c>
      <c r="G34" s="16"/>
      <c r="H34" s="18" t="s">
        <v>21</v>
      </c>
      <c r="I34" s="19">
        <f>SUM(I27:I33)</f>
        <v>17.283000000000001</v>
      </c>
      <c r="J34" s="19">
        <f>SUM(J27:J33)</f>
        <v>23.883000000000003</v>
      </c>
    </row>
    <row r="35" spans="1:10" ht="15" thickBot="1" x14ac:dyDescent="0.4">
      <c r="A35" s="24"/>
      <c r="B35" s="67"/>
      <c r="C35" s="68">
        <v>0.02</v>
      </c>
      <c r="D35" s="68">
        <v>0</v>
      </c>
      <c r="E35" s="68">
        <v>0.02</v>
      </c>
      <c r="F35" s="68" t="s">
        <v>30</v>
      </c>
      <c r="G35" s="68">
        <f>C35/E35</f>
        <v>1</v>
      </c>
      <c r="H35" s="68"/>
      <c r="I35" s="69">
        <f>E35*H35</f>
        <v>0</v>
      </c>
      <c r="J35" s="9"/>
    </row>
  </sheetData>
  <mergeCells count="21">
    <mergeCell ref="A24:F25"/>
    <mergeCell ref="B35:I35"/>
    <mergeCell ref="A21:B21"/>
    <mergeCell ref="C21:F21"/>
    <mergeCell ref="A22:B22"/>
    <mergeCell ref="C22:F22"/>
    <mergeCell ref="A23:B23"/>
    <mergeCell ref="C23:F23"/>
    <mergeCell ref="A20:B20"/>
    <mergeCell ref="C20:F20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16:I16"/>
    <mergeCell ref="A17:J1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80A9-0C71-491E-8CCB-0784DAC2AD6F}">
  <dimension ref="A1:J35"/>
  <sheetViews>
    <sheetView workbookViewId="0">
      <selection activeCell="J4" sqref="J4"/>
    </sheetView>
  </sheetViews>
  <sheetFormatPr defaultRowHeight="14.5" x14ac:dyDescent="0.35"/>
  <cols>
    <col min="1" max="1" width="18.906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I15</f>
        <v>9.1026826086956536</v>
      </c>
      <c r="J1" s="58">
        <f>J15</f>
        <v>11.372400000000001</v>
      </c>
    </row>
    <row r="2" spans="1:10" ht="15" thickBot="1" x14ac:dyDescent="0.4">
      <c r="A2" s="70" t="s">
        <v>2</v>
      </c>
      <c r="B2" s="71"/>
      <c r="C2" s="72" t="s">
        <v>75</v>
      </c>
      <c r="D2" s="73"/>
      <c r="E2" s="73"/>
      <c r="F2" s="74"/>
      <c r="G2" s="3" t="s">
        <v>3</v>
      </c>
      <c r="H2" s="4"/>
      <c r="I2" s="5">
        <f>I1/C4</f>
        <v>9.1026826086956536</v>
      </c>
      <c r="J2" s="5">
        <f>J1/C4</f>
        <v>11.372400000000001</v>
      </c>
    </row>
    <row r="3" spans="1:10" ht="15" thickBot="1" x14ac:dyDescent="0.4">
      <c r="A3" s="75" t="s">
        <v>4</v>
      </c>
      <c r="B3" s="76"/>
      <c r="C3" s="77">
        <f>E15/C4</f>
        <v>0.66500000000000004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45.513413043478266</v>
      </c>
      <c r="J4" s="10">
        <f>J2*J3</f>
        <v>56.862000000000002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76</v>
      </c>
      <c r="B8" s="26"/>
      <c r="C8" s="27">
        <v>0.15</v>
      </c>
      <c r="D8" s="28">
        <v>0</v>
      </c>
      <c r="E8" s="28">
        <v>0.12</v>
      </c>
      <c r="F8" s="28" t="s">
        <v>19</v>
      </c>
      <c r="G8" s="28">
        <f>C8/E8</f>
        <v>1.25</v>
      </c>
      <c r="H8" s="55">
        <v>42.9</v>
      </c>
      <c r="I8" s="30">
        <f>E8*H8</f>
        <v>5.1479999999999997</v>
      </c>
      <c r="J8" s="21">
        <f>C8*H8</f>
        <v>6.4349999999999996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4" si="0">C9*H9</f>
        <v>0.39600000000000002</v>
      </c>
    </row>
    <row r="10" spans="1:10" x14ac:dyDescent="0.35">
      <c r="A10" s="25" t="s">
        <v>70</v>
      </c>
      <c r="B10" s="26"/>
      <c r="C10" s="27">
        <v>0.15</v>
      </c>
      <c r="D10" s="28">
        <v>0</v>
      </c>
      <c r="E10" s="28">
        <v>0.15</v>
      </c>
      <c r="F10" s="28" t="s">
        <v>19</v>
      </c>
      <c r="G10" s="28">
        <f t="shared" ref="G10:G11" si="1">C10/E10</f>
        <v>1</v>
      </c>
      <c r="H10" s="55">
        <f>I21</f>
        <v>16.698550724637684</v>
      </c>
      <c r="I10" s="30">
        <f t="shared" ref="I10:I11" si="2">E10*H10</f>
        <v>2.5047826086956526</v>
      </c>
      <c r="J10" s="21">
        <f>C10*23.88</f>
        <v>3.5819999999999999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0.15</v>
      </c>
      <c r="F11" s="28" t="s">
        <v>19</v>
      </c>
      <c r="G11" s="28">
        <f t="shared" si="1"/>
        <v>0.8</v>
      </c>
      <c r="H11" s="55">
        <v>3.15</v>
      </c>
      <c r="I11" s="30">
        <f t="shared" si="2"/>
        <v>0.47249999999999998</v>
      </c>
      <c r="J11" s="21">
        <f t="shared" si="0"/>
        <v>0.378</v>
      </c>
    </row>
    <row r="12" spans="1:10" x14ac:dyDescent="0.35">
      <c r="A12" s="31" t="s">
        <v>27</v>
      </c>
      <c r="B12" s="32"/>
      <c r="C12" s="42">
        <v>0.02</v>
      </c>
      <c r="D12" s="34">
        <v>0</v>
      </c>
      <c r="E12" s="33">
        <v>0.02</v>
      </c>
      <c r="F12" s="33" t="s">
        <v>19</v>
      </c>
      <c r="G12" s="35">
        <f>C12/E12</f>
        <v>1</v>
      </c>
      <c r="H12" s="54">
        <v>20.5</v>
      </c>
      <c r="I12" s="37">
        <f>E12*H12</f>
        <v>0.41000000000000003</v>
      </c>
      <c r="J12" s="21">
        <f t="shared" si="0"/>
        <v>0.41000000000000003</v>
      </c>
    </row>
    <row r="13" spans="1:10" x14ac:dyDescent="0.35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0" ht="15" thickBot="1" x14ac:dyDescent="0.4">
      <c r="A14" s="40" t="s">
        <v>29</v>
      </c>
      <c r="B14" s="39"/>
      <c r="C14" s="43">
        <v>0.02</v>
      </c>
      <c r="D14" s="39">
        <v>0</v>
      </c>
      <c r="E14" s="39">
        <v>0.02</v>
      </c>
      <c r="F14" s="39" t="s">
        <v>30</v>
      </c>
      <c r="G14" s="39">
        <f>C14/E14</f>
        <v>1</v>
      </c>
      <c r="H14" s="57">
        <v>7.89</v>
      </c>
      <c r="I14" s="41">
        <f>E14*H14</f>
        <v>0.1578</v>
      </c>
      <c r="J14" s="21">
        <f t="shared" si="0"/>
        <v>0.1578</v>
      </c>
    </row>
    <row r="15" spans="1:10" ht="15" thickBot="1" x14ac:dyDescent="0.4">
      <c r="A15" s="13" t="s">
        <v>20</v>
      </c>
      <c r="B15" s="16"/>
      <c r="C15" s="14">
        <f>SUM(C8:C14)</f>
        <v>0.66500000000000004</v>
      </c>
      <c r="D15" s="16"/>
      <c r="E15" s="17">
        <f>SUM(E8:E14)</f>
        <v>0.66500000000000004</v>
      </c>
      <c r="F15" s="14" t="s">
        <v>19</v>
      </c>
      <c r="G15" s="16"/>
      <c r="H15" s="18" t="s">
        <v>21</v>
      </c>
      <c r="I15" s="19">
        <f>SUM(I8:I14)</f>
        <v>9.1026826086956536</v>
      </c>
      <c r="J15" s="19">
        <f>SUM(J8:J14)</f>
        <v>11.372400000000001</v>
      </c>
    </row>
    <row r="16" spans="1:10" ht="15" thickBot="1" x14ac:dyDescent="0.4">
      <c r="A16" s="24"/>
      <c r="B16" s="67"/>
      <c r="C16" s="68">
        <v>0.02</v>
      </c>
      <c r="D16" s="68">
        <v>0</v>
      </c>
      <c r="E16" s="68">
        <v>0.02</v>
      </c>
      <c r="F16" s="68" t="s">
        <v>30</v>
      </c>
      <c r="G16" s="68">
        <f>C16/E16</f>
        <v>1</v>
      </c>
      <c r="H16" s="68"/>
      <c r="I16" s="69">
        <f>E16*H16</f>
        <v>0</v>
      </c>
      <c r="J16" s="9"/>
    </row>
    <row r="17" spans="1:10" x14ac:dyDescent="0.35">
      <c r="A17" s="85"/>
      <c r="B17" s="85"/>
      <c r="C17" s="85">
        <f>SUM(C8:C16)</f>
        <v>1.35</v>
      </c>
      <c r="D17" s="85">
        <v>0</v>
      </c>
      <c r="E17" s="85">
        <f>SUM(E8:E16)</f>
        <v>1.35</v>
      </c>
      <c r="F17" s="85" t="s">
        <v>19</v>
      </c>
      <c r="G17" s="85">
        <f>C17/E17</f>
        <v>1</v>
      </c>
      <c r="H17" s="85" t="s">
        <v>21</v>
      </c>
      <c r="I17" s="85">
        <f>SUM(I8:I16)</f>
        <v>18.205365217391307</v>
      </c>
      <c r="J17" s="85"/>
    </row>
    <row r="20" spans="1:10" x14ac:dyDescent="0.35">
      <c r="A20" s="86" t="s">
        <v>0</v>
      </c>
      <c r="B20" s="86"/>
      <c r="C20" s="86" t="s">
        <v>22</v>
      </c>
      <c r="D20" s="86"/>
      <c r="E20" s="86"/>
      <c r="F20" s="86"/>
      <c r="G20" s="1" t="s">
        <v>1</v>
      </c>
      <c r="H20" s="2"/>
      <c r="I20" s="58">
        <f>I34</f>
        <v>17.283000000000001</v>
      </c>
      <c r="J20" s="58">
        <f>J34</f>
        <v>23.883000000000003</v>
      </c>
    </row>
    <row r="21" spans="1:10" ht="15" thickBot="1" x14ac:dyDescent="0.4">
      <c r="A21" s="70" t="s">
        <v>2</v>
      </c>
      <c r="B21" s="71"/>
      <c r="C21" s="72" t="s">
        <v>74</v>
      </c>
      <c r="D21" s="73"/>
      <c r="E21" s="73"/>
      <c r="F21" s="74"/>
      <c r="G21" s="3" t="s">
        <v>3</v>
      </c>
      <c r="H21" s="4"/>
      <c r="I21" s="5">
        <f>I20/C23</f>
        <v>16.698550724637684</v>
      </c>
      <c r="J21" s="5">
        <f>J20/C23</f>
        <v>23.075362318840583</v>
      </c>
    </row>
    <row r="22" spans="1:10" ht="15" thickBot="1" x14ac:dyDescent="0.4">
      <c r="A22" s="75" t="s">
        <v>4</v>
      </c>
      <c r="B22" s="76"/>
      <c r="C22" s="77">
        <v>1</v>
      </c>
      <c r="D22" s="78"/>
      <c r="E22" s="78"/>
      <c r="F22" s="79"/>
      <c r="G22" s="6" t="s">
        <v>5</v>
      </c>
      <c r="H22" s="7"/>
      <c r="I22" s="8">
        <v>5</v>
      </c>
      <c r="J22" s="8">
        <v>5</v>
      </c>
    </row>
    <row r="23" spans="1:10" ht="15" thickBot="1" x14ac:dyDescent="0.4">
      <c r="A23" s="80" t="s">
        <v>6</v>
      </c>
      <c r="B23" s="81"/>
      <c r="C23" s="82">
        <f>E34/C22</f>
        <v>1.0349999999999999</v>
      </c>
      <c r="D23" s="83"/>
      <c r="E23" s="83"/>
      <c r="F23" s="84"/>
      <c r="G23" s="6" t="s">
        <v>7</v>
      </c>
      <c r="H23" s="7"/>
      <c r="I23" s="10">
        <f>I21*I22</f>
        <v>83.49275362318842</v>
      </c>
      <c r="J23" s="10">
        <f>J21*J22</f>
        <v>115.37681159420291</v>
      </c>
    </row>
    <row r="24" spans="1:10" ht="15" thickBot="1" x14ac:dyDescent="0.4">
      <c r="A24" s="61" t="s">
        <v>8</v>
      </c>
      <c r="B24" s="62"/>
      <c r="C24" s="62" t="s">
        <v>23</v>
      </c>
      <c r="D24" s="62"/>
      <c r="E24" s="62"/>
      <c r="F24" s="63"/>
      <c r="G24" s="6" t="s">
        <v>9</v>
      </c>
      <c r="H24" s="7"/>
      <c r="I24" s="11">
        <f>I21/I23</f>
        <v>0.2</v>
      </c>
      <c r="J24" s="11">
        <f>J21/J23</f>
        <v>0.2</v>
      </c>
    </row>
    <row r="25" spans="1:10" x14ac:dyDescent="0.35">
      <c r="A25" s="64"/>
      <c r="B25" s="65"/>
      <c r="C25" s="65"/>
      <c r="D25" s="65"/>
      <c r="E25" s="65"/>
      <c r="F25" s="66"/>
      <c r="G25" s="22"/>
      <c r="H25" s="22"/>
      <c r="I25" s="23"/>
      <c r="J25" s="12"/>
    </row>
    <row r="26" spans="1:10" ht="26.5" x14ac:dyDescent="0.35">
      <c r="A26" s="15" t="s">
        <v>10</v>
      </c>
      <c r="B26" s="15" t="s">
        <v>11</v>
      </c>
      <c r="C26" s="15" t="s">
        <v>12</v>
      </c>
      <c r="D26" s="15" t="s">
        <v>13</v>
      </c>
      <c r="E26" s="15" t="s">
        <v>14</v>
      </c>
      <c r="F26" s="15" t="s">
        <v>15</v>
      </c>
      <c r="G26" s="15" t="s">
        <v>16</v>
      </c>
      <c r="H26" s="15" t="s">
        <v>17</v>
      </c>
      <c r="I26" s="15" t="s">
        <v>18</v>
      </c>
      <c r="J26" s="20" t="s">
        <v>108</v>
      </c>
    </row>
    <row r="27" spans="1:10" x14ac:dyDescent="0.35">
      <c r="A27" s="25" t="s">
        <v>40</v>
      </c>
      <c r="B27" s="26"/>
      <c r="C27" s="27">
        <v>0.5</v>
      </c>
      <c r="D27" s="28">
        <v>0</v>
      </c>
      <c r="E27" s="28">
        <v>0.43</v>
      </c>
      <c r="F27" s="28" t="s">
        <v>19</v>
      </c>
      <c r="G27" s="28">
        <f>C27/E27</f>
        <v>1.1627906976744187</v>
      </c>
      <c r="H27" s="55">
        <v>7.15</v>
      </c>
      <c r="I27" s="30">
        <f>E27*H27</f>
        <v>3.0745</v>
      </c>
      <c r="J27" s="21">
        <f>C27*H27</f>
        <v>3.5750000000000002</v>
      </c>
    </row>
    <row r="28" spans="1:10" x14ac:dyDescent="0.35">
      <c r="A28" s="25" t="s">
        <v>49</v>
      </c>
      <c r="B28" s="26"/>
      <c r="C28" s="27">
        <v>0.3</v>
      </c>
      <c r="D28" s="28">
        <v>0</v>
      </c>
      <c r="E28" s="28">
        <v>0.25</v>
      </c>
      <c r="F28" s="28" t="s">
        <v>19</v>
      </c>
      <c r="G28" s="28">
        <f>C28/E28</f>
        <v>1.2</v>
      </c>
      <c r="H28" s="55">
        <v>6.99</v>
      </c>
      <c r="I28" s="30">
        <f>E28*H28</f>
        <v>1.7475000000000001</v>
      </c>
      <c r="J28" s="21">
        <f t="shared" ref="J28:J33" si="3">C28*H28</f>
        <v>2.097</v>
      </c>
    </row>
    <row r="29" spans="1:10" x14ac:dyDescent="0.35">
      <c r="A29" s="25" t="s">
        <v>71</v>
      </c>
      <c r="B29" s="26"/>
      <c r="C29" s="27">
        <v>0.3</v>
      </c>
      <c r="D29" s="28">
        <v>0</v>
      </c>
      <c r="E29" s="28">
        <v>0.2</v>
      </c>
      <c r="F29" s="28" t="s">
        <v>19</v>
      </c>
      <c r="G29" s="28">
        <f t="shared" ref="G29:G30" si="4">C29/E29</f>
        <v>1.4999999999999998</v>
      </c>
      <c r="H29" s="55">
        <v>47.5</v>
      </c>
      <c r="I29" s="30">
        <f t="shared" ref="I29:I30" si="5">E29*H29</f>
        <v>9.5</v>
      </c>
      <c r="J29" s="21">
        <f t="shared" si="3"/>
        <v>14.25</v>
      </c>
    </row>
    <row r="30" spans="1:10" x14ac:dyDescent="0.35">
      <c r="A30" s="25" t="s">
        <v>72</v>
      </c>
      <c r="B30" s="26"/>
      <c r="C30" s="27">
        <v>0.2</v>
      </c>
      <c r="D30" s="28">
        <v>0</v>
      </c>
      <c r="E30" s="28">
        <v>0.1</v>
      </c>
      <c r="F30" s="28" t="s">
        <v>19</v>
      </c>
      <c r="G30" s="28">
        <f t="shared" si="4"/>
        <v>2</v>
      </c>
      <c r="H30" s="55">
        <v>10</v>
      </c>
      <c r="I30" s="30">
        <f t="shared" si="5"/>
        <v>1</v>
      </c>
      <c r="J30" s="21">
        <f t="shared" si="3"/>
        <v>2</v>
      </c>
    </row>
    <row r="31" spans="1:10" x14ac:dyDescent="0.35">
      <c r="A31" s="44" t="s">
        <v>51</v>
      </c>
      <c r="B31" s="32"/>
      <c r="C31" s="42">
        <v>0.02</v>
      </c>
      <c r="D31" s="34">
        <v>0</v>
      </c>
      <c r="E31" s="33">
        <v>0.02</v>
      </c>
      <c r="F31" s="33" t="s">
        <v>19</v>
      </c>
      <c r="G31" s="35">
        <f>C31/E31</f>
        <v>1</v>
      </c>
      <c r="H31" s="54">
        <v>25.67</v>
      </c>
      <c r="I31" s="37">
        <f>E31*H31</f>
        <v>0.51340000000000008</v>
      </c>
      <c r="J31" s="21">
        <f t="shared" si="3"/>
        <v>0.51340000000000008</v>
      </c>
    </row>
    <row r="32" spans="1:10" x14ac:dyDescent="0.35">
      <c r="A32" s="38" t="s">
        <v>28</v>
      </c>
      <c r="B32" s="32"/>
      <c r="C32" s="43">
        <v>5.0000000000000001E-3</v>
      </c>
      <c r="D32" s="34">
        <v>0</v>
      </c>
      <c r="E32" s="39">
        <v>5.0000000000000001E-3</v>
      </c>
      <c r="F32" s="39" t="s">
        <v>19</v>
      </c>
      <c r="G32" s="35">
        <f>C32/E32</f>
        <v>1</v>
      </c>
      <c r="H32" s="56">
        <v>2.72</v>
      </c>
      <c r="I32" s="51">
        <f>E32*H32</f>
        <v>1.3600000000000001E-2</v>
      </c>
      <c r="J32" s="21">
        <f t="shared" si="3"/>
        <v>1.3600000000000001E-2</v>
      </c>
    </row>
    <row r="33" spans="1:10" ht="15" thickBot="1" x14ac:dyDescent="0.4">
      <c r="A33" s="40" t="s">
        <v>73</v>
      </c>
      <c r="B33" s="39"/>
      <c r="C33" s="43">
        <v>0.03</v>
      </c>
      <c r="D33" s="39">
        <v>0</v>
      </c>
      <c r="E33" s="39">
        <v>0.03</v>
      </c>
      <c r="F33" s="39" t="s">
        <v>30</v>
      </c>
      <c r="G33" s="39">
        <f>C33/E33</f>
        <v>1</v>
      </c>
      <c r="H33" s="57">
        <v>47.8</v>
      </c>
      <c r="I33" s="51">
        <f>E33*H33</f>
        <v>1.4339999999999999</v>
      </c>
      <c r="J33" s="21">
        <f t="shared" si="3"/>
        <v>1.4339999999999999</v>
      </c>
    </row>
    <row r="34" spans="1:10" ht="15" thickBot="1" x14ac:dyDescent="0.4">
      <c r="A34" s="13" t="s">
        <v>20</v>
      </c>
      <c r="B34" s="16"/>
      <c r="C34" s="14">
        <f>SUM(C27:C33)</f>
        <v>1.355</v>
      </c>
      <c r="D34" s="16"/>
      <c r="E34" s="17">
        <f>SUM(E27:E33)</f>
        <v>1.0349999999999999</v>
      </c>
      <c r="F34" s="14" t="s">
        <v>19</v>
      </c>
      <c r="G34" s="16"/>
      <c r="H34" s="18" t="s">
        <v>21</v>
      </c>
      <c r="I34" s="19">
        <f>SUM(I27:I33)</f>
        <v>17.283000000000001</v>
      </c>
      <c r="J34" s="19">
        <f>SUM(J27:J33)</f>
        <v>23.883000000000003</v>
      </c>
    </row>
    <row r="35" spans="1:10" ht="15" thickBot="1" x14ac:dyDescent="0.4">
      <c r="A35" s="24"/>
      <c r="B35" s="67"/>
      <c r="C35" s="68">
        <v>0.02</v>
      </c>
      <c r="D35" s="68">
        <v>0</v>
      </c>
      <c r="E35" s="68">
        <v>0.02</v>
      </c>
      <c r="F35" s="68" t="s">
        <v>30</v>
      </c>
      <c r="G35" s="68">
        <f>C35/E35</f>
        <v>1</v>
      </c>
      <c r="H35" s="68"/>
      <c r="I35" s="69">
        <f>E35*H35</f>
        <v>0</v>
      </c>
      <c r="J35" s="9"/>
    </row>
  </sheetData>
  <mergeCells count="21">
    <mergeCell ref="A24:F25"/>
    <mergeCell ref="B35:I35"/>
    <mergeCell ref="A21:B21"/>
    <mergeCell ref="C21:F21"/>
    <mergeCell ref="A22:B22"/>
    <mergeCell ref="C22:F22"/>
    <mergeCell ref="A23:B23"/>
    <mergeCell ref="C23:F23"/>
    <mergeCell ref="A20:B20"/>
    <mergeCell ref="C20:F20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16:I16"/>
    <mergeCell ref="A17:J1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23CA-5561-49AC-9742-177C7809C070}">
  <dimension ref="A1:J17"/>
  <sheetViews>
    <sheetView workbookViewId="0">
      <selection activeCell="J7" sqref="J7"/>
    </sheetView>
  </sheetViews>
  <sheetFormatPr defaultRowHeight="14.5" x14ac:dyDescent="0.35"/>
  <cols>
    <col min="1" max="1" width="15.81640625" bestFit="1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I15</f>
        <v>9.2894000000000005</v>
      </c>
      <c r="J1" s="58">
        <f>J15</f>
        <v>10.481900000000001</v>
      </c>
    </row>
    <row r="2" spans="1:10" ht="15" thickBot="1" x14ac:dyDescent="0.4">
      <c r="A2" s="70" t="s">
        <v>2</v>
      </c>
      <c r="B2" s="71"/>
      <c r="C2" s="72" t="s">
        <v>75</v>
      </c>
      <c r="D2" s="73"/>
      <c r="E2" s="73"/>
      <c r="F2" s="74"/>
      <c r="G2" s="3" t="s">
        <v>3</v>
      </c>
      <c r="H2" s="4"/>
      <c r="I2" s="5">
        <f>I1/C4</f>
        <v>9.2894000000000005</v>
      </c>
      <c r="J2" s="5">
        <f>J1/C4</f>
        <v>10.481900000000001</v>
      </c>
    </row>
    <row r="3" spans="1:10" ht="15" thickBot="1" x14ac:dyDescent="0.4">
      <c r="A3" s="75" t="s">
        <v>4</v>
      </c>
      <c r="B3" s="76"/>
      <c r="C3" s="77">
        <f>E15/C4</f>
        <v>0.66500000000000004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46.447000000000003</v>
      </c>
      <c r="J4" s="10">
        <f>J2*J3</f>
        <v>52.409500000000008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0.19999999999999998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76</v>
      </c>
      <c r="B8" s="26"/>
      <c r="C8" s="27">
        <v>0.15</v>
      </c>
      <c r="D8" s="28">
        <v>0</v>
      </c>
      <c r="E8" s="28">
        <v>0.12</v>
      </c>
      <c r="F8" s="28" t="s">
        <v>19</v>
      </c>
      <c r="G8" s="28">
        <f>C8/E8</f>
        <v>1.25</v>
      </c>
      <c r="H8" s="55">
        <v>42.9</v>
      </c>
      <c r="I8" s="30">
        <f>E8*H8</f>
        <v>5.1479999999999997</v>
      </c>
      <c r="J8" s="21">
        <f>C8*H8</f>
        <v>6.4349999999999996</v>
      </c>
    </row>
    <row r="9" spans="1:10" ht="26.5" x14ac:dyDescent="0.35">
      <c r="A9" s="25" t="s">
        <v>77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8.83</v>
      </c>
      <c r="I9" s="30">
        <f>E9*H9</f>
        <v>1.766</v>
      </c>
      <c r="J9" s="21">
        <f t="shared" ref="J9:J14" si="0">C9*H9</f>
        <v>1.766</v>
      </c>
    </row>
    <row r="10" spans="1:10" x14ac:dyDescent="0.35">
      <c r="A10" s="25" t="s">
        <v>67</v>
      </c>
      <c r="B10" s="26"/>
      <c r="C10" s="27">
        <v>0.15</v>
      </c>
      <c r="D10" s="28">
        <v>0</v>
      </c>
      <c r="E10" s="28">
        <v>0.15</v>
      </c>
      <c r="F10" s="28" t="s">
        <v>19</v>
      </c>
      <c r="G10" s="28">
        <f t="shared" ref="G10:G11" si="1">C10/E10</f>
        <v>1</v>
      </c>
      <c r="H10" s="55">
        <v>8.81</v>
      </c>
      <c r="I10" s="30">
        <f t="shared" ref="I10:I11" si="2">E10*H10</f>
        <v>1.3215000000000001</v>
      </c>
      <c r="J10" s="21">
        <f t="shared" si="0"/>
        <v>1.3215000000000001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0.15</v>
      </c>
      <c r="F11" s="28" t="s">
        <v>19</v>
      </c>
      <c r="G11" s="28">
        <f t="shared" si="1"/>
        <v>0.8</v>
      </c>
      <c r="H11" s="55">
        <v>3.15</v>
      </c>
      <c r="I11" s="30">
        <f t="shared" si="2"/>
        <v>0.47249999999999998</v>
      </c>
      <c r="J11" s="21">
        <f t="shared" si="0"/>
        <v>0.378</v>
      </c>
    </row>
    <row r="12" spans="1:10" x14ac:dyDescent="0.35">
      <c r="A12" s="31" t="s">
        <v>27</v>
      </c>
      <c r="B12" s="32"/>
      <c r="C12" s="42">
        <v>0.02</v>
      </c>
      <c r="D12" s="34">
        <v>0</v>
      </c>
      <c r="E12" s="33">
        <v>0.02</v>
      </c>
      <c r="F12" s="33" t="s">
        <v>19</v>
      </c>
      <c r="G12" s="35">
        <f>C12/E12</f>
        <v>1</v>
      </c>
      <c r="H12" s="54">
        <v>20.5</v>
      </c>
      <c r="I12" s="37">
        <f>E12*H12</f>
        <v>0.41000000000000003</v>
      </c>
      <c r="J12" s="21">
        <f t="shared" si="0"/>
        <v>0.41000000000000003</v>
      </c>
    </row>
    <row r="13" spans="1:10" x14ac:dyDescent="0.35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0" ht="15" thickBot="1" x14ac:dyDescent="0.4">
      <c r="A14" s="40" t="s">
        <v>29</v>
      </c>
      <c r="B14" s="39"/>
      <c r="C14" s="43">
        <v>0.02</v>
      </c>
      <c r="D14" s="39">
        <v>0</v>
      </c>
      <c r="E14" s="39">
        <v>0.02</v>
      </c>
      <c r="F14" s="39" t="s">
        <v>30</v>
      </c>
      <c r="G14" s="39">
        <f>C14/E14</f>
        <v>1</v>
      </c>
      <c r="H14" s="57">
        <v>7.89</v>
      </c>
      <c r="I14" s="41">
        <f>E14*H14</f>
        <v>0.1578</v>
      </c>
      <c r="J14" s="21">
        <f t="shared" si="0"/>
        <v>0.1578</v>
      </c>
    </row>
    <row r="15" spans="1:10" ht="15" thickBot="1" x14ac:dyDescent="0.4">
      <c r="A15" s="13" t="s">
        <v>20</v>
      </c>
      <c r="B15" s="16"/>
      <c r="C15" s="14">
        <f>SUM(C8:C14)</f>
        <v>0.66500000000000004</v>
      </c>
      <c r="D15" s="16"/>
      <c r="E15" s="17">
        <f>SUM(E8:E14)</f>
        <v>0.66500000000000004</v>
      </c>
      <c r="F15" s="14" t="s">
        <v>19</v>
      </c>
      <c r="G15" s="16"/>
      <c r="H15" s="18" t="s">
        <v>21</v>
      </c>
      <c r="I15" s="19">
        <f>SUM(I8:I14)</f>
        <v>9.2894000000000005</v>
      </c>
      <c r="J15" s="19">
        <f>SUM(J8:J14)</f>
        <v>10.481900000000001</v>
      </c>
    </row>
    <row r="16" spans="1:10" ht="15" thickBot="1" x14ac:dyDescent="0.4">
      <c r="A16" s="24"/>
      <c r="B16" s="67"/>
      <c r="C16" s="68">
        <v>0.02</v>
      </c>
      <c r="D16" s="68">
        <v>0</v>
      </c>
      <c r="E16" s="68">
        <v>0.02</v>
      </c>
      <c r="F16" s="68" t="s">
        <v>30</v>
      </c>
      <c r="G16" s="68">
        <f>C16/E16</f>
        <v>1</v>
      </c>
      <c r="H16" s="68"/>
      <c r="I16" s="69">
        <f>E16*H16</f>
        <v>0</v>
      </c>
      <c r="J16" s="9"/>
    </row>
    <row r="17" spans="1:10" x14ac:dyDescent="0.35">
      <c r="A17" s="85"/>
      <c r="B17" s="85"/>
      <c r="C17" s="85">
        <f>SUM(C8:C16)</f>
        <v>1.35</v>
      </c>
      <c r="D17" s="85">
        <v>0</v>
      </c>
      <c r="E17" s="85">
        <f>SUM(E8:E16)</f>
        <v>1.35</v>
      </c>
      <c r="F17" s="85" t="s">
        <v>19</v>
      </c>
      <c r="G17" s="85">
        <f>C17/E17</f>
        <v>1</v>
      </c>
      <c r="H17" s="85" t="s">
        <v>21</v>
      </c>
      <c r="I17" s="85">
        <f>SUM(I8:I16)</f>
        <v>18.578800000000001</v>
      </c>
      <c r="J17" s="85"/>
    </row>
  </sheetData>
  <mergeCells count="11">
    <mergeCell ref="A4:B4"/>
    <mergeCell ref="C4:F4"/>
    <mergeCell ref="A5:F6"/>
    <mergeCell ref="B16:I16"/>
    <mergeCell ref="A17:J17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36C7-F951-4FAD-8179-FEBF96831F8C}">
  <dimension ref="A1:J33"/>
  <sheetViews>
    <sheetView workbookViewId="0">
      <selection activeCell="J4" sqref="J4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I14</f>
        <v>6.6397732394366198</v>
      </c>
      <c r="J1" s="58">
        <f>J14</f>
        <v>6.7469000000000001</v>
      </c>
    </row>
    <row r="2" spans="1:10" ht="15" thickBot="1" x14ac:dyDescent="0.4">
      <c r="A2" s="70" t="s">
        <v>2</v>
      </c>
      <c r="B2" s="71"/>
      <c r="C2" s="72" t="s">
        <v>52</v>
      </c>
      <c r="D2" s="73"/>
      <c r="E2" s="73"/>
      <c r="F2" s="74"/>
      <c r="G2" s="3" t="s">
        <v>3</v>
      </c>
      <c r="H2" s="4"/>
      <c r="I2" s="5">
        <f>I1/C4</f>
        <v>6.6397732394366198</v>
      </c>
      <c r="J2" s="5">
        <f>J1/C4</f>
        <v>6.7469000000000001</v>
      </c>
    </row>
    <row r="3" spans="1:10" ht="15" thickBot="1" x14ac:dyDescent="0.4">
      <c r="A3" s="75" t="s">
        <v>4</v>
      </c>
      <c r="B3" s="76"/>
      <c r="C3" s="77">
        <f>E14/C4</f>
        <v>0.59500000000000008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33.198866197183101</v>
      </c>
      <c r="J4" s="10">
        <f>J2*J3</f>
        <v>33.734499999999997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0.19999999999999998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45</v>
      </c>
      <c r="B8" s="26"/>
      <c r="C8" s="27">
        <v>0.12</v>
      </c>
      <c r="D8" s="28">
        <v>0</v>
      </c>
      <c r="E8" s="28">
        <v>0.12</v>
      </c>
      <c r="F8" s="28" t="s">
        <v>19</v>
      </c>
      <c r="G8" s="28">
        <f>C8/E8</f>
        <v>1</v>
      </c>
      <c r="H8" s="55">
        <v>36.99</v>
      </c>
      <c r="I8" s="30">
        <f>E8*H8</f>
        <v>4.4387999999999996</v>
      </c>
      <c r="J8" s="21">
        <f>C8*H8</f>
        <v>4.4387999999999996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21">
        <f t="shared" ref="J9:J13" si="0">C9*H9</f>
        <v>0.39600000000000002</v>
      </c>
    </row>
    <row r="10" spans="1:10" x14ac:dyDescent="0.35">
      <c r="A10" s="25" t="s">
        <v>46</v>
      </c>
      <c r="B10" s="26"/>
      <c r="C10" s="27">
        <v>0.1</v>
      </c>
      <c r="D10" s="28">
        <v>0</v>
      </c>
      <c r="E10" s="28">
        <v>0.1</v>
      </c>
      <c r="F10" s="28" t="s">
        <v>19</v>
      </c>
      <c r="G10" s="28">
        <f t="shared" ref="G10:G11" si="1">C10/E10</f>
        <v>1</v>
      </c>
      <c r="H10" s="55">
        <f>I20</f>
        <v>9.6987323943661981</v>
      </c>
      <c r="I10" s="30">
        <f t="shared" ref="I10:I11" si="2">E10*H10</f>
        <v>0.96987323943661985</v>
      </c>
      <c r="J10" s="21">
        <f>C10*10.77</f>
        <v>1.077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0.12</v>
      </c>
      <c r="F11" s="28" t="s">
        <v>19</v>
      </c>
      <c r="G11" s="28">
        <f t="shared" si="1"/>
        <v>1</v>
      </c>
      <c r="H11" s="55">
        <v>3.15</v>
      </c>
      <c r="I11" s="30">
        <f t="shared" si="2"/>
        <v>0.378</v>
      </c>
      <c r="J11" s="21">
        <f t="shared" si="0"/>
        <v>0.378</v>
      </c>
    </row>
    <row r="12" spans="1:10" x14ac:dyDescent="0.35">
      <c r="A12" s="44" t="s">
        <v>41</v>
      </c>
      <c r="B12" s="32"/>
      <c r="C12" s="42">
        <v>0.05</v>
      </c>
      <c r="D12" s="34">
        <v>0</v>
      </c>
      <c r="E12" s="33">
        <v>0.05</v>
      </c>
      <c r="F12" s="33" t="s">
        <v>19</v>
      </c>
      <c r="G12" s="35">
        <f>C12/E12</f>
        <v>1</v>
      </c>
      <c r="H12" s="54">
        <v>8.8699999999999992</v>
      </c>
      <c r="I12" s="37">
        <f>E12*H12</f>
        <v>0.44350000000000001</v>
      </c>
      <c r="J12" s="21">
        <f t="shared" si="0"/>
        <v>0.44350000000000001</v>
      </c>
    </row>
    <row r="13" spans="1:10" ht="15" thickBot="1" x14ac:dyDescent="0.4">
      <c r="A13" s="38" t="s">
        <v>28</v>
      </c>
      <c r="B13" s="32"/>
      <c r="C13" s="43">
        <v>5.0000000000000001E-3</v>
      </c>
      <c r="D13" s="34">
        <v>0</v>
      </c>
      <c r="E13" s="39">
        <v>5.0000000000000001E-3</v>
      </c>
      <c r="F13" s="39" t="s">
        <v>19</v>
      </c>
      <c r="G13" s="35">
        <f>C13/E13</f>
        <v>1</v>
      </c>
      <c r="H13" s="56">
        <v>2.72</v>
      </c>
      <c r="I13" s="41">
        <f>E13*H13</f>
        <v>1.3600000000000001E-2</v>
      </c>
      <c r="J13" s="21">
        <f t="shared" si="0"/>
        <v>1.3600000000000001E-2</v>
      </c>
    </row>
    <row r="14" spans="1:10" ht="15" thickBot="1" x14ac:dyDescent="0.4">
      <c r="A14" s="13" t="s">
        <v>20</v>
      </c>
      <c r="B14" s="16"/>
      <c r="C14" s="14">
        <f>SUM(C8:C13)</f>
        <v>0.59500000000000008</v>
      </c>
      <c r="D14" s="16"/>
      <c r="E14" s="17">
        <f>SUM(E8:E13)</f>
        <v>0.59500000000000008</v>
      </c>
      <c r="F14" s="14" t="s">
        <v>19</v>
      </c>
      <c r="G14" s="16"/>
      <c r="H14" s="18" t="s">
        <v>21</v>
      </c>
      <c r="I14" s="19">
        <f>SUM(I8:I13)</f>
        <v>6.6397732394366198</v>
      </c>
      <c r="J14" s="19">
        <f>SUM(J8:J13)</f>
        <v>6.7469000000000001</v>
      </c>
    </row>
    <row r="15" spans="1:10" ht="15" thickBot="1" x14ac:dyDescent="0.4">
      <c r="A15" s="24"/>
      <c r="B15" s="67"/>
      <c r="C15" s="68">
        <v>0.02</v>
      </c>
      <c r="D15" s="68">
        <v>0</v>
      </c>
      <c r="E15" s="68">
        <v>0.02</v>
      </c>
      <c r="F15" s="68" t="s">
        <v>30</v>
      </c>
      <c r="G15" s="68">
        <f>C15/E15</f>
        <v>1</v>
      </c>
      <c r="H15" s="68"/>
      <c r="I15" s="69">
        <f>E15*H15</f>
        <v>0</v>
      </c>
      <c r="J15" s="9"/>
    </row>
    <row r="16" spans="1:10" x14ac:dyDescent="0.35">
      <c r="A16" s="85"/>
      <c r="B16" s="85"/>
      <c r="C16" s="85">
        <f>SUM(C8:C15)</f>
        <v>1.2100000000000002</v>
      </c>
      <c r="D16" s="85">
        <v>0</v>
      </c>
      <c r="E16" s="85">
        <f>SUM(E8:E15)</f>
        <v>1.2100000000000002</v>
      </c>
      <c r="F16" s="85" t="s">
        <v>19</v>
      </c>
      <c r="G16" s="85">
        <f>C16/E16</f>
        <v>1</v>
      </c>
      <c r="H16" s="85" t="s">
        <v>21</v>
      </c>
      <c r="I16" s="85">
        <f>SUM(I8:I15)</f>
        <v>13.27954647887324</v>
      </c>
      <c r="J16" s="85"/>
    </row>
    <row r="19" spans="1:10" x14ac:dyDescent="0.35">
      <c r="A19" s="86" t="s">
        <v>0</v>
      </c>
      <c r="B19" s="86"/>
      <c r="C19" s="86" t="s">
        <v>22</v>
      </c>
      <c r="D19" s="86"/>
      <c r="E19" s="86"/>
      <c r="F19" s="86"/>
      <c r="G19" s="1" t="s">
        <v>1</v>
      </c>
      <c r="H19" s="2"/>
      <c r="I19" s="58">
        <f>I32</f>
        <v>10.32915</v>
      </c>
      <c r="J19" s="58">
        <f>J32</f>
        <v>11.466750000000001</v>
      </c>
    </row>
    <row r="20" spans="1:10" ht="15" thickBot="1" x14ac:dyDescent="0.4">
      <c r="A20" s="70" t="s">
        <v>2</v>
      </c>
      <c r="B20" s="71"/>
      <c r="C20" s="72" t="s">
        <v>47</v>
      </c>
      <c r="D20" s="73"/>
      <c r="E20" s="73"/>
      <c r="F20" s="74"/>
      <c r="G20" s="3" t="s">
        <v>3</v>
      </c>
      <c r="H20" s="4"/>
      <c r="I20" s="5">
        <f>I19/C22</f>
        <v>9.6987323943661981</v>
      </c>
      <c r="J20" s="5">
        <f>J19/C22</f>
        <v>10.766901408450705</v>
      </c>
    </row>
    <row r="21" spans="1:10" ht="15" thickBot="1" x14ac:dyDescent="0.4">
      <c r="A21" s="75" t="s">
        <v>4</v>
      </c>
      <c r="B21" s="76"/>
      <c r="C21" s="77">
        <v>1</v>
      </c>
      <c r="D21" s="78"/>
      <c r="E21" s="78"/>
      <c r="F21" s="79"/>
      <c r="G21" s="6" t="s">
        <v>5</v>
      </c>
      <c r="H21" s="7"/>
      <c r="I21" s="8">
        <v>5</v>
      </c>
      <c r="J21" s="8">
        <v>5</v>
      </c>
    </row>
    <row r="22" spans="1:10" ht="15" thickBot="1" x14ac:dyDescent="0.4">
      <c r="A22" s="80" t="s">
        <v>6</v>
      </c>
      <c r="B22" s="81"/>
      <c r="C22" s="82">
        <f>E32/C21</f>
        <v>1.0649999999999999</v>
      </c>
      <c r="D22" s="83"/>
      <c r="E22" s="83"/>
      <c r="F22" s="84"/>
      <c r="G22" s="6" t="s">
        <v>7</v>
      </c>
      <c r="H22" s="7"/>
      <c r="I22" s="10">
        <f>I20*I21</f>
        <v>48.493661971830988</v>
      </c>
      <c r="J22" s="10">
        <f>J20*J21</f>
        <v>53.834507042253527</v>
      </c>
    </row>
    <row r="23" spans="1:10" ht="15" thickBot="1" x14ac:dyDescent="0.4">
      <c r="A23" s="61" t="s">
        <v>8</v>
      </c>
      <c r="B23" s="62"/>
      <c r="C23" s="62" t="s">
        <v>23</v>
      </c>
      <c r="D23" s="62"/>
      <c r="E23" s="62"/>
      <c r="F23" s="63"/>
      <c r="G23" s="6" t="s">
        <v>9</v>
      </c>
      <c r="H23" s="7"/>
      <c r="I23" s="11">
        <f>I20/I22</f>
        <v>0.2</v>
      </c>
      <c r="J23" s="11">
        <f>J20/J22</f>
        <v>0.19999999999999998</v>
      </c>
    </row>
    <row r="24" spans="1:10" x14ac:dyDescent="0.35">
      <c r="A24" s="64"/>
      <c r="B24" s="65"/>
      <c r="C24" s="65"/>
      <c r="D24" s="65"/>
      <c r="E24" s="65"/>
      <c r="F24" s="66"/>
      <c r="G24" s="22"/>
      <c r="H24" s="22"/>
      <c r="I24" s="23"/>
      <c r="J24" s="12"/>
    </row>
    <row r="25" spans="1:10" ht="26.5" x14ac:dyDescent="0.35">
      <c r="A25" s="15" t="s">
        <v>10</v>
      </c>
      <c r="B25" s="15" t="s">
        <v>11</v>
      </c>
      <c r="C25" s="15" t="s">
        <v>12</v>
      </c>
      <c r="D25" s="15" t="s">
        <v>13</v>
      </c>
      <c r="E25" s="15" t="s">
        <v>14</v>
      </c>
      <c r="F25" s="15" t="s">
        <v>15</v>
      </c>
      <c r="G25" s="15" t="s">
        <v>16</v>
      </c>
      <c r="H25" s="15" t="s">
        <v>17</v>
      </c>
      <c r="I25" s="15" t="s">
        <v>18</v>
      </c>
      <c r="J25" s="20" t="s">
        <v>108</v>
      </c>
    </row>
    <row r="26" spans="1:10" x14ac:dyDescent="0.35">
      <c r="A26" s="25" t="s">
        <v>48</v>
      </c>
      <c r="B26" s="26"/>
      <c r="C26" s="27">
        <v>0.75</v>
      </c>
      <c r="D26" s="28">
        <v>0</v>
      </c>
      <c r="E26" s="28">
        <v>0.63</v>
      </c>
      <c r="F26" s="28" t="s">
        <v>19</v>
      </c>
      <c r="G26" s="28">
        <f>C26/E26</f>
        <v>1.1904761904761905</v>
      </c>
      <c r="H26" s="55">
        <v>7.15</v>
      </c>
      <c r="I26" s="30">
        <f>E26*H26</f>
        <v>4.5045000000000002</v>
      </c>
      <c r="J26" s="60">
        <f>C26*H26</f>
        <v>5.3625000000000007</v>
      </c>
    </row>
    <row r="27" spans="1:10" x14ac:dyDescent="0.35">
      <c r="A27" s="25" t="s">
        <v>49</v>
      </c>
      <c r="B27" s="26"/>
      <c r="C27" s="27">
        <v>0.2</v>
      </c>
      <c r="D27" s="28">
        <v>0</v>
      </c>
      <c r="E27" s="28">
        <v>0.16</v>
      </c>
      <c r="F27" s="28" t="s">
        <v>19</v>
      </c>
      <c r="G27" s="28">
        <f>C27/E27</f>
        <v>1.25</v>
      </c>
      <c r="H27" s="55">
        <v>6.99</v>
      </c>
      <c r="I27" s="30">
        <f>E27*H27</f>
        <v>1.1184000000000001</v>
      </c>
      <c r="J27" s="60">
        <f t="shared" ref="J27:J31" si="3">C27*H27</f>
        <v>1.3980000000000001</v>
      </c>
    </row>
    <row r="28" spans="1:10" x14ac:dyDescent="0.35">
      <c r="A28" s="25" t="s">
        <v>27</v>
      </c>
      <c r="B28" s="26"/>
      <c r="C28" s="27">
        <v>0.1</v>
      </c>
      <c r="D28" s="28">
        <v>0</v>
      </c>
      <c r="E28" s="28">
        <v>0.1</v>
      </c>
      <c r="F28" s="28" t="s">
        <v>19</v>
      </c>
      <c r="G28" s="28">
        <f t="shared" ref="G28:G29" si="4">C28/E28</f>
        <v>1</v>
      </c>
      <c r="H28" s="55">
        <v>20.5</v>
      </c>
      <c r="I28" s="30">
        <f t="shared" ref="I28:I29" si="5">E28*H28</f>
        <v>2.0500000000000003</v>
      </c>
      <c r="J28" s="60">
        <f t="shared" si="3"/>
        <v>2.0500000000000003</v>
      </c>
    </row>
    <row r="29" spans="1:10" x14ac:dyDescent="0.35">
      <c r="A29" s="25" t="s">
        <v>28</v>
      </c>
      <c r="B29" s="26"/>
      <c r="C29" s="27">
        <v>0.01</v>
      </c>
      <c r="D29" s="28">
        <v>0</v>
      </c>
      <c r="E29" s="28">
        <v>0.01</v>
      </c>
      <c r="F29" s="28" t="s">
        <v>19</v>
      </c>
      <c r="G29" s="28">
        <f t="shared" si="4"/>
        <v>1</v>
      </c>
      <c r="H29" s="55">
        <v>2.72</v>
      </c>
      <c r="I29" s="30">
        <f t="shared" si="5"/>
        <v>2.7200000000000002E-2</v>
      </c>
      <c r="J29" s="60">
        <f t="shared" si="3"/>
        <v>2.7200000000000002E-2</v>
      </c>
    </row>
    <row r="30" spans="1:10" x14ac:dyDescent="0.35">
      <c r="A30" s="44" t="s">
        <v>50</v>
      </c>
      <c r="B30" s="32"/>
      <c r="C30" s="42">
        <v>0.15</v>
      </c>
      <c r="D30" s="34">
        <v>0</v>
      </c>
      <c r="E30" s="33">
        <v>0.15</v>
      </c>
      <c r="F30" s="33" t="s">
        <v>19</v>
      </c>
      <c r="G30" s="35">
        <f>C30/E30</f>
        <v>1</v>
      </c>
      <c r="H30" s="54">
        <v>14.96</v>
      </c>
      <c r="I30" s="37">
        <f>E30*H30</f>
        <v>2.2440000000000002</v>
      </c>
      <c r="J30" s="60">
        <f t="shared" si="3"/>
        <v>2.2440000000000002</v>
      </c>
    </row>
    <row r="31" spans="1:10" ht="15" thickBot="1" x14ac:dyDescent="0.4">
      <c r="A31" s="38" t="s">
        <v>51</v>
      </c>
      <c r="B31" s="32"/>
      <c r="C31" s="43">
        <v>1.4999999999999999E-2</v>
      </c>
      <c r="D31" s="34">
        <v>0</v>
      </c>
      <c r="E31" s="39">
        <v>1.4999999999999999E-2</v>
      </c>
      <c r="F31" s="39" t="s">
        <v>19</v>
      </c>
      <c r="G31" s="35">
        <f>C31/E31</f>
        <v>1</v>
      </c>
      <c r="H31" s="56">
        <v>25.67</v>
      </c>
      <c r="I31" s="41">
        <f>E31*H31</f>
        <v>0.38505</v>
      </c>
      <c r="J31" s="60">
        <f t="shared" si="3"/>
        <v>0.38505</v>
      </c>
    </row>
    <row r="32" spans="1:10" ht="15" thickBot="1" x14ac:dyDescent="0.4">
      <c r="A32" s="13" t="s">
        <v>20</v>
      </c>
      <c r="B32" s="16"/>
      <c r="C32" s="14">
        <f>SUM(C26:C31)</f>
        <v>1.2249999999999999</v>
      </c>
      <c r="D32" s="16"/>
      <c r="E32" s="17">
        <f>SUM(E26:E31)</f>
        <v>1.0649999999999999</v>
      </c>
      <c r="F32" s="14" t="s">
        <v>19</v>
      </c>
      <c r="G32" s="16"/>
      <c r="H32" s="18" t="s">
        <v>21</v>
      </c>
      <c r="I32" s="19">
        <f>SUM(I26:I31)</f>
        <v>10.32915</v>
      </c>
      <c r="J32" s="19">
        <f>SUM(J26:J31)</f>
        <v>11.466750000000001</v>
      </c>
    </row>
    <row r="33" spans="1:10" ht="15" thickBot="1" x14ac:dyDescent="0.4">
      <c r="A33" s="24"/>
      <c r="B33" s="67"/>
      <c r="C33" s="68">
        <v>0.02</v>
      </c>
      <c r="D33" s="68">
        <v>0</v>
      </c>
      <c r="E33" s="68">
        <v>0.02</v>
      </c>
      <c r="F33" s="68" t="s">
        <v>30</v>
      </c>
      <c r="G33" s="68">
        <f>C33/E33</f>
        <v>1</v>
      </c>
      <c r="H33" s="68"/>
      <c r="I33" s="69">
        <f>E33*H33</f>
        <v>0</v>
      </c>
      <c r="J33" s="9"/>
    </row>
  </sheetData>
  <mergeCells count="21">
    <mergeCell ref="A23:F24"/>
    <mergeCell ref="B33:I33"/>
    <mergeCell ref="A20:B20"/>
    <mergeCell ref="C20:F20"/>
    <mergeCell ref="A21:B21"/>
    <mergeCell ref="C21:F21"/>
    <mergeCell ref="A22:B22"/>
    <mergeCell ref="C22:F22"/>
    <mergeCell ref="A19:B19"/>
    <mergeCell ref="C19:F19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15:I15"/>
    <mergeCell ref="A16:J1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AE9D-2326-48DC-8CC8-9F3C5802D803}">
  <dimension ref="A1:J37"/>
  <sheetViews>
    <sheetView workbookViewId="0">
      <selection activeCell="J4" sqref="J4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I18</f>
        <v>4.2184732394366193</v>
      </c>
      <c r="J1" s="58">
        <f>J18</f>
        <v>4.665</v>
      </c>
    </row>
    <row r="2" spans="1:10" ht="15" thickBot="1" x14ac:dyDescent="0.4">
      <c r="A2" s="70" t="s">
        <v>2</v>
      </c>
      <c r="B2" s="71"/>
      <c r="C2" s="72" t="s">
        <v>83</v>
      </c>
      <c r="D2" s="73"/>
      <c r="E2" s="73"/>
      <c r="F2" s="74"/>
      <c r="G2" s="3" t="s">
        <v>3</v>
      </c>
      <c r="H2" s="4"/>
      <c r="I2" s="5">
        <f>I1/C4</f>
        <v>4.2184732394366193</v>
      </c>
      <c r="J2" s="5">
        <f>J1/C4</f>
        <v>4.665</v>
      </c>
    </row>
    <row r="3" spans="1:10" ht="15" thickBot="1" x14ac:dyDescent="0.4">
      <c r="A3" s="75" t="s">
        <v>4</v>
      </c>
      <c r="B3" s="76"/>
      <c r="C3" s="77">
        <f>E18/C4</f>
        <v>0.65500000000000014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21.092366197183097</v>
      </c>
      <c r="J4" s="10">
        <f>J2*J3</f>
        <v>23.324999999999999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78</v>
      </c>
      <c r="B8" s="26"/>
      <c r="C8" s="27">
        <v>0.12</v>
      </c>
      <c r="D8" s="28">
        <v>0</v>
      </c>
      <c r="E8" s="28">
        <v>0.1</v>
      </c>
      <c r="F8" s="28" t="s">
        <v>19</v>
      </c>
      <c r="G8" s="28">
        <f>C8/E8</f>
        <v>1.2</v>
      </c>
      <c r="H8" s="55">
        <v>16.97</v>
      </c>
      <c r="I8" s="30">
        <f>E8*H8</f>
        <v>1.6970000000000001</v>
      </c>
      <c r="J8" s="52">
        <f>C8*H8</f>
        <v>2.0364</v>
      </c>
    </row>
    <row r="9" spans="1:10" x14ac:dyDescent="0.35">
      <c r="A9" s="25" t="s">
        <v>31</v>
      </c>
      <c r="B9" s="26"/>
      <c r="C9" s="27">
        <v>0.2</v>
      </c>
      <c r="D9" s="28">
        <v>0</v>
      </c>
      <c r="E9" s="28">
        <v>0.2</v>
      </c>
      <c r="F9" s="28" t="s">
        <v>19</v>
      </c>
      <c r="G9" s="28">
        <f>C9/E9</f>
        <v>1</v>
      </c>
      <c r="H9" s="55">
        <v>1.98</v>
      </c>
      <c r="I9" s="30">
        <f>E9*H9</f>
        <v>0.39600000000000002</v>
      </c>
      <c r="J9" s="52">
        <f t="shared" ref="J9:J17" si="0">C9*H9</f>
        <v>0.39600000000000002</v>
      </c>
    </row>
    <row r="10" spans="1:10" x14ac:dyDescent="0.35">
      <c r="A10" s="25" t="s">
        <v>82</v>
      </c>
      <c r="B10" s="26"/>
      <c r="C10" s="27">
        <v>0.1</v>
      </c>
      <c r="D10" s="28">
        <v>0</v>
      </c>
      <c r="E10" s="28">
        <v>0.1</v>
      </c>
      <c r="F10" s="28" t="s">
        <v>19</v>
      </c>
      <c r="G10" s="28">
        <f t="shared" ref="G10:G11" si="1">C10/E10</f>
        <v>1</v>
      </c>
      <c r="H10" s="55">
        <f>I24</f>
        <v>9.6987323943661981</v>
      </c>
      <c r="I10" s="30">
        <f t="shared" ref="I10:I11" si="2">E10*H10</f>
        <v>0.96987323943661985</v>
      </c>
      <c r="J10" s="52">
        <f>C10*10.77</f>
        <v>1.077</v>
      </c>
    </row>
    <row r="11" spans="1:10" x14ac:dyDescent="0.35">
      <c r="A11" s="25" t="s">
        <v>26</v>
      </c>
      <c r="B11" s="26"/>
      <c r="C11" s="27">
        <v>0.12</v>
      </c>
      <c r="D11" s="28">
        <v>0</v>
      </c>
      <c r="E11" s="28">
        <v>0.12</v>
      </c>
      <c r="F11" s="28" t="s">
        <v>19</v>
      </c>
      <c r="G11" s="28">
        <f t="shared" si="1"/>
        <v>1</v>
      </c>
      <c r="H11" s="55">
        <v>3.15</v>
      </c>
      <c r="I11" s="30">
        <f t="shared" si="2"/>
        <v>0.378</v>
      </c>
      <c r="J11" s="52">
        <f t="shared" si="0"/>
        <v>0.378</v>
      </c>
    </row>
    <row r="12" spans="1:10" x14ac:dyDescent="0.35">
      <c r="A12" s="44" t="s">
        <v>34</v>
      </c>
      <c r="B12" s="32"/>
      <c r="C12" s="42">
        <v>0.05</v>
      </c>
      <c r="D12" s="34">
        <v>0</v>
      </c>
      <c r="E12" s="33">
        <v>0.05</v>
      </c>
      <c r="F12" s="33" t="s">
        <v>19</v>
      </c>
      <c r="G12" s="35">
        <f>C12/E12</f>
        <v>1</v>
      </c>
      <c r="H12" s="54">
        <v>5.9</v>
      </c>
      <c r="I12" s="37">
        <f>E12*H12</f>
        <v>0.29500000000000004</v>
      </c>
      <c r="J12" s="52">
        <f t="shared" si="0"/>
        <v>0.29500000000000004</v>
      </c>
    </row>
    <row r="13" spans="1:10" x14ac:dyDescent="0.35">
      <c r="A13" s="44" t="s">
        <v>79</v>
      </c>
      <c r="B13" s="32"/>
      <c r="C13" s="42">
        <v>0.02</v>
      </c>
      <c r="D13" s="34">
        <v>0</v>
      </c>
      <c r="E13" s="33">
        <v>0.02</v>
      </c>
      <c r="F13" s="33" t="s">
        <v>19</v>
      </c>
      <c r="G13" s="35">
        <f>C13/E13</f>
        <v>1</v>
      </c>
      <c r="H13" s="54">
        <v>16.2</v>
      </c>
      <c r="I13" s="37">
        <f>E13*H13</f>
        <v>0.32400000000000001</v>
      </c>
      <c r="J13" s="52">
        <f t="shared" si="0"/>
        <v>0.32400000000000001</v>
      </c>
    </row>
    <row r="14" spans="1:10" x14ac:dyDescent="0.35">
      <c r="A14" s="44" t="s">
        <v>80</v>
      </c>
      <c r="B14" s="32"/>
      <c r="C14" s="42">
        <v>0.02</v>
      </c>
      <c r="D14" s="34">
        <v>0</v>
      </c>
      <c r="E14" s="33">
        <v>0.02</v>
      </c>
      <c r="F14" s="33" t="s">
        <v>19</v>
      </c>
      <c r="G14" s="35">
        <v>1</v>
      </c>
      <c r="H14" s="54">
        <v>7.25</v>
      </c>
      <c r="I14" s="37">
        <f t="shared" ref="I14:I17" si="3">E14*H14</f>
        <v>0.14499999999999999</v>
      </c>
      <c r="J14" s="52">
        <f t="shared" si="0"/>
        <v>0.14499999999999999</v>
      </c>
    </row>
    <row r="15" spans="1:10" x14ac:dyDescent="0.35">
      <c r="A15" s="38" t="s">
        <v>28</v>
      </c>
      <c r="B15" s="32"/>
      <c r="C15" s="43">
        <v>5.0000000000000001E-3</v>
      </c>
      <c r="D15" s="34">
        <v>0</v>
      </c>
      <c r="E15" s="39">
        <v>5.0000000000000001E-3</v>
      </c>
      <c r="F15" s="39" t="s">
        <v>19</v>
      </c>
      <c r="G15" s="35">
        <f>C15/E15</f>
        <v>1</v>
      </c>
      <c r="H15" s="56">
        <v>2.72</v>
      </c>
      <c r="I15" s="37">
        <f t="shared" si="3"/>
        <v>1.3600000000000001E-2</v>
      </c>
      <c r="J15" s="52">
        <f t="shared" si="0"/>
        <v>1.3600000000000001E-2</v>
      </c>
    </row>
    <row r="16" spans="1:10" x14ac:dyDescent="0.35">
      <c r="A16" s="38" t="s">
        <v>27</v>
      </c>
      <c r="B16" s="32"/>
      <c r="C16" s="43">
        <v>0.02</v>
      </c>
      <c r="D16" s="34">
        <v>0</v>
      </c>
      <c r="E16" s="39">
        <v>0.02</v>
      </c>
      <c r="F16" s="39" t="s">
        <v>19</v>
      </c>
      <c r="G16" s="35">
        <v>1</v>
      </c>
      <c r="H16" s="56">
        <v>20.5</v>
      </c>
      <c r="I16" s="37">
        <f t="shared" si="3"/>
        <v>0.41000000000000003</v>
      </c>
      <c r="J16" s="52">
        <f t="shared" si="0"/>
        <v>0.41000000000000003</v>
      </c>
    </row>
    <row r="17" spans="1:10" x14ac:dyDescent="0.35">
      <c r="A17" s="38" t="s">
        <v>81</v>
      </c>
      <c r="B17" s="32"/>
      <c r="C17" s="43">
        <v>0.02</v>
      </c>
      <c r="D17" s="34">
        <v>0</v>
      </c>
      <c r="E17" s="39">
        <v>0.02</v>
      </c>
      <c r="F17" s="39" t="s">
        <v>36</v>
      </c>
      <c r="G17" s="35">
        <v>1</v>
      </c>
      <c r="H17" s="56">
        <v>9.61</v>
      </c>
      <c r="I17" s="37">
        <f t="shared" si="3"/>
        <v>0.19219999999999998</v>
      </c>
      <c r="J17" s="52">
        <f t="shared" si="0"/>
        <v>0.19219999999999998</v>
      </c>
    </row>
    <row r="18" spans="1:10" ht="15" thickBot="1" x14ac:dyDescent="0.4">
      <c r="A18" s="45" t="s">
        <v>20</v>
      </c>
      <c r="B18" s="46"/>
      <c r="C18" s="47">
        <f>SUM(C8:C17)</f>
        <v>0.67500000000000016</v>
      </c>
      <c r="D18" s="46"/>
      <c r="E18" s="48">
        <f>SUM(E8:E17)</f>
        <v>0.65500000000000014</v>
      </c>
      <c r="F18" s="47" t="s">
        <v>19</v>
      </c>
      <c r="G18" s="46"/>
      <c r="H18" s="49" t="s">
        <v>21</v>
      </c>
      <c r="I18" s="50">
        <f>SUM(I8:I15)</f>
        <v>4.2184732394366193</v>
      </c>
      <c r="J18" s="50">
        <f>SUM(J8:J15)</f>
        <v>4.665</v>
      </c>
    </row>
    <row r="19" spans="1:10" ht="15" thickBot="1" x14ac:dyDescent="0.4">
      <c r="A19" s="24"/>
      <c r="B19" s="67"/>
      <c r="C19" s="68">
        <v>0.02</v>
      </c>
      <c r="D19" s="68">
        <v>0</v>
      </c>
      <c r="E19" s="68">
        <v>0.02</v>
      </c>
      <c r="F19" s="68" t="s">
        <v>30</v>
      </c>
      <c r="G19" s="68">
        <f>C19/E19</f>
        <v>1</v>
      </c>
      <c r="H19" s="68"/>
      <c r="I19" s="69">
        <f>E19*H19</f>
        <v>0</v>
      </c>
      <c r="J19" s="9"/>
    </row>
    <row r="20" spans="1:10" x14ac:dyDescent="0.35">
      <c r="A20" s="85"/>
      <c r="B20" s="85"/>
      <c r="C20" s="85">
        <f>SUM(C8:C19)</f>
        <v>1.3700000000000003</v>
      </c>
      <c r="D20" s="85">
        <v>0</v>
      </c>
      <c r="E20" s="85">
        <f>SUM(E8:E19)</f>
        <v>1.3300000000000003</v>
      </c>
      <c r="F20" s="85" t="s">
        <v>19</v>
      </c>
      <c r="G20" s="85">
        <f>C20/E20</f>
        <v>1.0300751879699248</v>
      </c>
      <c r="H20" s="85" t="s">
        <v>21</v>
      </c>
      <c r="I20" s="85">
        <f>SUM(I8:I19)</f>
        <v>9.0391464788732385</v>
      </c>
      <c r="J20" s="85"/>
    </row>
    <row r="23" spans="1:10" x14ac:dyDescent="0.35">
      <c r="A23" s="86" t="s">
        <v>0</v>
      </c>
      <c r="B23" s="86"/>
      <c r="C23" s="86" t="s">
        <v>22</v>
      </c>
      <c r="D23" s="86"/>
      <c r="E23" s="86"/>
      <c r="F23" s="86"/>
      <c r="G23" s="1" t="s">
        <v>1</v>
      </c>
      <c r="H23" s="2"/>
      <c r="I23" s="58">
        <f>I36</f>
        <v>10.32915</v>
      </c>
      <c r="J23" s="58">
        <f>J36</f>
        <v>11.466750000000001</v>
      </c>
    </row>
    <row r="24" spans="1:10" ht="15" thickBot="1" x14ac:dyDescent="0.4">
      <c r="A24" s="70" t="s">
        <v>2</v>
      </c>
      <c r="B24" s="71"/>
      <c r="C24" s="72" t="s">
        <v>47</v>
      </c>
      <c r="D24" s="73"/>
      <c r="E24" s="73"/>
      <c r="F24" s="74"/>
      <c r="G24" s="3" t="s">
        <v>3</v>
      </c>
      <c r="H24" s="4"/>
      <c r="I24" s="5">
        <f>I23/C26</f>
        <v>9.6987323943661981</v>
      </c>
      <c r="J24" s="5">
        <f>J23/C26</f>
        <v>10.766901408450705</v>
      </c>
    </row>
    <row r="25" spans="1:10" ht="15" thickBot="1" x14ac:dyDescent="0.4">
      <c r="A25" s="75" t="s">
        <v>4</v>
      </c>
      <c r="B25" s="76"/>
      <c r="C25" s="77">
        <v>1</v>
      </c>
      <c r="D25" s="78"/>
      <c r="E25" s="78"/>
      <c r="F25" s="79"/>
      <c r="G25" s="6" t="s">
        <v>5</v>
      </c>
      <c r="H25" s="7"/>
      <c r="I25" s="8">
        <v>5</v>
      </c>
      <c r="J25" s="8">
        <v>5</v>
      </c>
    </row>
    <row r="26" spans="1:10" ht="15" thickBot="1" x14ac:dyDescent="0.4">
      <c r="A26" s="80" t="s">
        <v>6</v>
      </c>
      <c r="B26" s="81"/>
      <c r="C26" s="82">
        <f>E36/C25</f>
        <v>1.0649999999999999</v>
      </c>
      <c r="D26" s="83"/>
      <c r="E26" s="83"/>
      <c r="F26" s="84"/>
      <c r="G26" s="6" t="s">
        <v>7</v>
      </c>
      <c r="H26" s="7"/>
      <c r="I26" s="10">
        <f>I24*I25</f>
        <v>48.493661971830988</v>
      </c>
      <c r="J26" s="10">
        <f>J24*J25</f>
        <v>53.834507042253527</v>
      </c>
    </row>
    <row r="27" spans="1:10" ht="15" thickBot="1" x14ac:dyDescent="0.4">
      <c r="A27" s="61" t="s">
        <v>8</v>
      </c>
      <c r="B27" s="62"/>
      <c r="C27" s="62" t="s">
        <v>23</v>
      </c>
      <c r="D27" s="62"/>
      <c r="E27" s="62"/>
      <c r="F27" s="63"/>
      <c r="G27" s="6" t="s">
        <v>9</v>
      </c>
      <c r="H27" s="7"/>
      <c r="I27" s="11">
        <f>I24/I26</f>
        <v>0.2</v>
      </c>
      <c r="J27" s="11">
        <f>J24/J26</f>
        <v>0.19999999999999998</v>
      </c>
    </row>
    <row r="28" spans="1:10" x14ac:dyDescent="0.35">
      <c r="A28" s="64"/>
      <c r="B28" s="65"/>
      <c r="C28" s="65"/>
      <c r="D28" s="65"/>
      <c r="E28" s="65"/>
      <c r="F28" s="66"/>
      <c r="G28" s="22"/>
      <c r="H28" s="22"/>
      <c r="I28" s="23"/>
      <c r="J28" s="12"/>
    </row>
    <row r="29" spans="1:10" ht="26.5" x14ac:dyDescent="0.35">
      <c r="A29" s="15" t="s">
        <v>10</v>
      </c>
      <c r="B29" s="15" t="s">
        <v>11</v>
      </c>
      <c r="C29" s="15" t="s">
        <v>12</v>
      </c>
      <c r="D29" s="15" t="s">
        <v>13</v>
      </c>
      <c r="E29" s="15" t="s">
        <v>14</v>
      </c>
      <c r="F29" s="15" t="s">
        <v>15</v>
      </c>
      <c r="G29" s="15" t="s">
        <v>16</v>
      </c>
      <c r="H29" s="15" t="s">
        <v>17</v>
      </c>
      <c r="I29" s="15" t="s">
        <v>18</v>
      </c>
      <c r="J29" s="20" t="s">
        <v>108</v>
      </c>
    </row>
    <row r="30" spans="1:10" x14ac:dyDescent="0.35">
      <c r="A30" s="25" t="s">
        <v>48</v>
      </c>
      <c r="B30" s="26"/>
      <c r="C30" s="27">
        <v>0.75</v>
      </c>
      <c r="D30" s="28">
        <v>0</v>
      </c>
      <c r="E30" s="28">
        <v>0.63</v>
      </c>
      <c r="F30" s="28" t="s">
        <v>19</v>
      </c>
      <c r="G30" s="28">
        <f>C30/E30</f>
        <v>1.1904761904761905</v>
      </c>
      <c r="H30" s="55">
        <v>7.15</v>
      </c>
      <c r="I30" s="30">
        <f>E30*H30</f>
        <v>4.5045000000000002</v>
      </c>
      <c r="J30" s="21">
        <f>C30*H30</f>
        <v>5.3625000000000007</v>
      </c>
    </row>
    <row r="31" spans="1:10" x14ac:dyDescent="0.35">
      <c r="A31" s="25" t="s">
        <v>49</v>
      </c>
      <c r="B31" s="26"/>
      <c r="C31" s="27">
        <v>0.2</v>
      </c>
      <c r="D31" s="28">
        <v>0</v>
      </c>
      <c r="E31" s="28">
        <v>0.16</v>
      </c>
      <c r="F31" s="28" t="s">
        <v>19</v>
      </c>
      <c r="G31" s="28">
        <f>C31/E31</f>
        <v>1.25</v>
      </c>
      <c r="H31" s="55">
        <v>6.99</v>
      </c>
      <c r="I31" s="30">
        <f>E31*H31</f>
        <v>1.1184000000000001</v>
      </c>
      <c r="J31" s="21">
        <f t="shared" ref="J31:J35" si="4">C31*H31</f>
        <v>1.3980000000000001</v>
      </c>
    </row>
    <row r="32" spans="1:10" x14ac:dyDescent="0.35">
      <c r="A32" s="25" t="s">
        <v>27</v>
      </c>
      <c r="B32" s="26"/>
      <c r="C32" s="27">
        <v>0.1</v>
      </c>
      <c r="D32" s="28">
        <v>0</v>
      </c>
      <c r="E32" s="28">
        <v>0.1</v>
      </c>
      <c r="F32" s="28" t="s">
        <v>19</v>
      </c>
      <c r="G32" s="28">
        <f t="shared" ref="G32:G33" si="5">C32/E32</f>
        <v>1</v>
      </c>
      <c r="H32" s="55">
        <v>20.5</v>
      </c>
      <c r="I32" s="30">
        <f t="shared" ref="I32:I33" si="6">E32*H32</f>
        <v>2.0500000000000003</v>
      </c>
      <c r="J32" s="21">
        <f t="shared" si="4"/>
        <v>2.0500000000000003</v>
      </c>
    </row>
    <row r="33" spans="1:10" x14ac:dyDescent="0.35">
      <c r="A33" s="25" t="s">
        <v>28</v>
      </c>
      <c r="B33" s="26"/>
      <c r="C33" s="27">
        <v>0.01</v>
      </c>
      <c r="D33" s="28">
        <v>0</v>
      </c>
      <c r="E33" s="28">
        <v>0.01</v>
      </c>
      <c r="F33" s="28" t="s">
        <v>19</v>
      </c>
      <c r="G33" s="28">
        <f t="shared" si="5"/>
        <v>1</v>
      </c>
      <c r="H33" s="55">
        <v>2.72</v>
      </c>
      <c r="I33" s="30">
        <f t="shared" si="6"/>
        <v>2.7200000000000002E-2</v>
      </c>
      <c r="J33" s="21">
        <f t="shared" si="4"/>
        <v>2.7200000000000002E-2</v>
      </c>
    </row>
    <row r="34" spans="1:10" x14ac:dyDescent="0.35">
      <c r="A34" s="44" t="s">
        <v>50</v>
      </c>
      <c r="B34" s="32"/>
      <c r="C34" s="42">
        <v>0.15</v>
      </c>
      <c r="D34" s="34">
        <v>0</v>
      </c>
      <c r="E34" s="33">
        <v>0.15</v>
      </c>
      <c r="F34" s="33" t="s">
        <v>19</v>
      </c>
      <c r="G34" s="35">
        <f>C34/E34</f>
        <v>1</v>
      </c>
      <c r="H34" s="54">
        <v>14.96</v>
      </c>
      <c r="I34" s="37">
        <f>E34*H34</f>
        <v>2.2440000000000002</v>
      </c>
      <c r="J34" s="21">
        <f t="shared" si="4"/>
        <v>2.2440000000000002</v>
      </c>
    </row>
    <row r="35" spans="1:10" ht="15" thickBot="1" x14ac:dyDescent="0.4">
      <c r="A35" s="38" t="s">
        <v>51</v>
      </c>
      <c r="B35" s="32"/>
      <c r="C35" s="43">
        <v>1.4999999999999999E-2</v>
      </c>
      <c r="D35" s="34">
        <v>0</v>
      </c>
      <c r="E35" s="39">
        <v>1.4999999999999999E-2</v>
      </c>
      <c r="F35" s="39" t="s">
        <v>19</v>
      </c>
      <c r="G35" s="35">
        <f>C35/E35</f>
        <v>1</v>
      </c>
      <c r="H35" s="56">
        <v>25.67</v>
      </c>
      <c r="I35" s="41">
        <f>E35*H35</f>
        <v>0.38505</v>
      </c>
      <c r="J35" s="21">
        <f t="shared" si="4"/>
        <v>0.38505</v>
      </c>
    </row>
    <row r="36" spans="1:10" ht="15" thickBot="1" x14ac:dyDescent="0.4">
      <c r="A36" s="13" t="s">
        <v>20</v>
      </c>
      <c r="B36" s="16"/>
      <c r="C36" s="14">
        <f>SUM(C30:C35)</f>
        <v>1.2249999999999999</v>
      </c>
      <c r="D36" s="16"/>
      <c r="E36" s="17">
        <f>SUM(E30:E35)</f>
        <v>1.0649999999999999</v>
      </c>
      <c r="F36" s="14" t="s">
        <v>19</v>
      </c>
      <c r="G36" s="16"/>
      <c r="H36" s="18" t="s">
        <v>21</v>
      </c>
      <c r="I36" s="19">
        <f>SUM(I30:I35)</f>
        <v>10.32915</v>
      </c>
      <c r="J36" s="19">
        <f>SUM(J30:J35)</f>
        <v>11.466750000000001</v>
      </c>
    </row>
    <row r="37" spans="1:10" ht="15" thickBot="1" x14ac:dyDescent="0.4">
      <c r="A37" s="24"/>
      <c r="B37" s="67"/>
      <c r="C37" s="68">
        <v>0.02</v>
      </c>
      <c r="D37" s="68">
        <v>0</v>
      </c>
      <c r="E37" s="68">
        <v>0.02</v>
      </c>
      <c r="F37" s="68" t="s">
        <v>30</v>
      </c>
      <c r="G37" s="68">
        <f>C37/E37</f>
        <v>1</v>
      </c>
      <c r="H37" s="68"/>
      <c r="I37" s="69">
        <f>E37*H37</f>
        <v>0</v>
      </c>
      <c r="J37" s="9"/>
    </row>
  </sheetData>
  <mergeCells count="21">
    <mergeCell ref="A23:B23"/>
    <mergeCell ref="C23:F23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19:I19"/>
    <mergeCell ref="A20:J20"/>
    <mergeCell ref="A27:F28"/>
    <mergeCell ref="B37:I37"/>
    <mergeCell ref="A24:B24"/>
    <mergeCell ref="C24:F24"/>
    <mergeCell ref="A25:B25"/>
    <mergeCell ref="C25:F25"/>
    <mergeCell ref="A26:B26"/>
    <mergeCell ref="C26:F26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138F-4401-4AD9-9F6D-EBFA7EFD5D48}">
  <dimension ref="A1:J33"/>
  <sheetViews>
    <sheetView workbookViewId="0">
      <selection activeCell="I4" sqref="I4"/>
    </sheetView>
  </sheetViews>
  <sheetFormatPr defaultRowHeight="14.5" x14ac:dyDescent="0.35"/>
  <cols>
    <col min="1" max="1" width="27.453125" customWidth="1"/>
    <col min="4" max="4" width="20" customWidth="1"/>
    <col min="5" max="5" width="15.81640625" customWidth="1"/>
    <col min="6" max="6" width="7.54296875" customWidth="1"/>
    <col min="7" max="7" width="19.453125" customWidth="1"/>
    <col min="8" max="8" width="14.1796875" customWidth="1"/>
    <col min="9" max="9" width="14.90625" customWidth="1"/>
    <col min="10" max="10" width="16.6328125" customWidth="1"/>
  </cols>
  <sheetData>
    <row r="1" spans="1:10" x14ac:dyDescent="0.35">
      <c r="A1" s="86" t="s">
        <v>0</v>
      </c>
      <c r="B1" s="86"/>
      <c r="C1" s="86" t="s">
        <v>22</v>
      </c>
      <c r="D1" s="86"/>
      <c r="E1" s="86"/>
      <c r="F1" s="86"/>
      <c r="G1" s="1" t="s">
        <v>1</v>
      </c>
      <c r="H1" s="2"/>
      <c r="I1" s="58">
        <f>I14</f>
        <v>12.92242894736842</v>
      </c>
      <c r="J1" s="58">
        <f>J14</f>
        <v>12.92242894736842</v>
      </c>
    </row>
    <row r="2" spans="1:10" ht="15" thickBot="1" x14ac:dyDescent="0.4">
      <c r="A2" s="70" t="s">
        <v>2</v>
      </c>
      <c r="B2" s="71"/>
      <c r="C2" s="72" t="s">
        <v>109</v>
      </c>
      <c r="D2" s="73"/>
      <c r="E2" s="73"/>
      <c r="F2" s="74"/>
      <c r="G2" s="3" t="s">
        <v>3</v>
      </c>
      <c r="H2" s="4"/>
      <c r="I2" s="5">
        <f>I1/C4</f>
        <v>12.92242894736842</v>
      </c>
      <c r="J2" s="5">
        <f>J1/C4</f>
        <v>12.92242894736842</v>
      </c>
    </row>
    <row r="3" spans="1:10" ht="15" thickBot="1" x14ac:dyDescent="0.4">
      <c r="A3" s="75" t="s">
        <v>4</v>
      </c>
      <c r="B3" s="76"/>
      <c r="C3" s="77">
        <f>E14/C4</f>
        <v>1.375</v>
      </c>
      <c r="D3" s="78"/>
      <c r="E3" s="78"/>
      <c r="F3" s="79"/>
      <c r="G3" s="6" t="s">
        <v>5</v>
      </c>
      <c r="H3" s="7"/>
      <c r="I3" s="8">
        <v>5</v>
      </c>
      <c r="J3" s="8">
        <v>5</v>
      </c>
    </row>
    <row r="4" spans="1:10" ht="15" thickBot="1" x14ac:dyDescent="0.4">
      <c r="A4" s="80" t="s">
        <v>6</v>
      </c>
      <c r="B4" s="81"/>
      <c r="C4" s="82">
        <v>1</v>
      </c>
      <c r="D4" s="83"/>
      <c r="E4" s="83"/>
      <c r="F4" s="84"/>
      <c r="G4" s="6" t="s">
        <v>7</v>
      </c>
      <c r="H4" s="7"/>
      <c r="I4" s="10">
        <f>I2*I3</f>
        <v>64.612144736842097</v>
      </c>
      <c r="J4" s="10">
        <f>J2*J3</f>
        <v>64.612144736842097</v>
      </c>
    </row>
    <row r="5" spans="1:10" ht="15" thickBot="1" x14ac:dyDescent="0.4">
      <c r="A5" s="61" t="s">
        <v>8</v>
      </c>
      <c r="B5" s="62"/>
      <c r="C5" s="62" t="s">
        <v>23</v>
      </c>
      <c r="D5" s="62"/>
      <c r="E5" s="62"/>
      <c r="F5" s="63"/>
      <c r="G5" s="6" t="s">
        <v>9</v>
      </c>
      <c r="H5" s="7"/>
      <c r="I5" s="11">
        <f>I2/I4</f>
        <v>0.2</v>
      </c>
      <c r="J5" s="11">
        <f>J2/J4</f>
        <v>0.2</v>
      </c>
    </row>
    <row r="6" spans="1:10" x14ac:dyDescent="0.35">
      <c r="A6" s="64"/>
      <c r="B6" s="65"/>
      <c r="C6" s="65"/>
      <c r="D6" s="65"/>
      <c r="E6" s="65"/>
      <c r="F6" s="66"/>
      <c r="G6" s="22"/>
      <c r="H6" s="22"/>
      <c r="I6" s="23"/>
      <c r="J6" s="12"/>
    </row>
    <row r="7" spans="1:10" ht="26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5" t="s">
        <v>17</v>
      </c>
      <c r="I7" s="15" t="s">
        <v>18</v>
      </c>
      <c r="J7" s="20" t="s">
        <v>108</v>
      </c>
    </row>
    <row r="8" spans="1:10" x14ac:dyDescent="0.35">
      <c r="A8" s="25" t="s">
        <v>119</v>
      </c>
      <c r="B8" s="26"/>
      <c r="C8" s="27">
        <v>1</v>
      </c>
      <c r="D8" s="28"/>
      <c r="E8" s="28">
        <v>1</v>
      </c>
      <c r="F8" s="28" t="s">
        <v>19</v>
      </c>
      <c r="G8" s="28">
        <f>C8/E8</f>
        <v>1</v>
      </c>
      <c r="H8" s="55">
        <v>7.97</v>
      </c>
      <c r="I8" s="30">
        <f>E8*H8</f>
        <v>7.97</v>
      </c>
      <c r="J8" s="52">
        <f>C8*H8</f>
        <v>7.97</v>
      </c>
    </row>
    <row r="9" spans="1:10" x14ac:dyDescent="0.35">
      <c r="A9" s="25" t="s">
        <v>115</v>
      </c>
      <c r="B9" s="26"/>
      <c r="C9" s="27">
        <v>0.25</v>
      </c>
      <c r="D9" s="28"/>
      <c r="E9" s="28">
        <v>0.25</v>
      </c>
      <c r="F9" s="28" t="s">
        <v>19</v>
      </c>
      <c r="G9" s="28">
        <f>C9/E9</f>
        <v>1</v>
      </c>
      <c r="H9" s="55">
        <f>J20</f>
        <v>12.702315789473685</v>
      </c>
      <c r="I9" s="30">
        <f>E9*H9</f>
        <v>3.1755789473684213</v>
      </c>
      <c r="J9" s="52">
        <f t="shared" ref="J9:J13" si="0">C9*H9</f>
        <v>3.1755789473684213</v>
      </c>
    </row>
    <row r="10" spans="1:10" x14ac:dyDescent="0.35">
      <c r="A10" s="25" t="s">
        <v>116</v>
      </c>
      <c r="B10" s="26"/>
      <c r="C10" s="27">
        <v>0.05</v>
      </c>
      <c r="D10" s="28"/>
      <c r="E10" s="27">
        <v>0.05</v>
      </c>
      <c r="F10" s="28" t="s">
        <v>19</v>
      </c>
      <c r="G10" s="28">
        <f t="shared" ref="G10:G11" si="1">C10/E10</f>
        <v>1</v>
      </c>
      <c r="H10" s="55">
        <v>10.83</v>
      </c>
      <c r="I10" s="30">
        <f t="shared" ref="I10:I11" si="2">E10*H10</f>
        <v>0.54149999999999998</v>
      </c>
      <c r="J10" s="52">
        <f t="shared" si="0"/>
        <v>0.54149999999999998</v>
      </c>
    </row>
    <row r="11" spans="1:10" x14ac:dyDescent="0.35">
      <c r="A11" s="25" t="s">
        <v>113</v>
      </c>
      <c r="B11" s="26"/>
      <c r="C11" s="27">
        <v>0.02</v>
      </c>
      <c r="D11" s="28"/>
      <c r="E11" s="27">
        <v>0.02</v>
      </c>
      <c r="F11" s="28" t="s">
        <v>19</v>
      </c>
      <c r="G11" s="28">
        <f t="shared" si="1"/>
        <v>1</v>
      </c>
      <c r="H11" s="55">
        <v>48.5</v>
      </c>
      <c r="I11" s="30">
        <f t="shared" si="2"/>
        <v>0.97</v>
      </c>
      <c r="J11" s="52">
        <f t="shared" si="0"/>
        <v>0.97</v>
      </c>
    </row>
    <row r="12" spans="1:10" x14ac:dyDescent="0.35">
      <c r="A12" s="44" t="s">
        <v>117</v>
      </c>
      <c r="B12" s="32"/>
      <c r="C12" s="42">
        <v>0.05</v>
      </c>
      <c r="D12" s="34"/>
      <c r="E12" s="42">
        <v>0.05</v>
      </c>
      <c r="F12" s="33" t="s">
        <v>19</v>
      </c>
      <c r="G12" s="35">
        <f>C12/E12</f>
        <v>1</v>
      </c>
      <c r="H12" s="54">
        <v>3.04</v>
      </c>
      <c r="I12" s="37">
        <f>E12*H12</f>
        <v>0.15200000000000002</v>
      </c>
      <c r="J12" s="52">
        <f t="shared" si="0"/>
        <v>0.15200000000000002</v>
      </c>
    </row>
    <row r="13" spans="1:10" x14ac:dyDescent="0.35">
      <c r="A13" s="44" t="s">
        <v>118</v>
      </c>
      <c r="B13" s="32"/>
      <c r="C13" s="42">
        <v>5.0000000000000001E-3</v>
      </c>
      <c r="D13" s="34"/>
      <c r="E13" s="42">
        <v>5.0000000000000001E-3</v>
      </c>
      <c r="F13" s="33" t="s">
        <v>19</v>
      </c>
      <c r="G13" s="35">
        <f>C13/E13</f>
        <v>1</v>
      </c>
      <c r="H13" s="54">
        <v>22.67</v>
      </c>
      <c r="I13" s="37">
        <f>E13*H13</f>
        <v>0.11335000000000001</v>
      </c>
      <c r="J13" s="52">
        <f t="shared" si="0"/>
        <v>0.11335000000000001</v>
      </c>
    </row>
    <row r="14" spans="1:10" ht="15" thickBot="1" x14ac:dyDescent="0.4">
      <c r="A14" s="45" t="s">
        <v>20</v>
      </c>
      <c r="B14" s="46"/>
      <c r="C14" s="47">
        <f>SUM(C8:C13)</f>
        <v>1.375</v>
      </c>
      <c r="D14" s="46"/>
      <c r="E14" s="48">
        <f>SUM(E8:E13)</f>
        <v>1.375</v>
      </c>
      <c r="F14" s="47" t="s">
        <v>19</v>
      </c>
      <c r="G14" s="46"/>
      <c r="H14" s="49" t="s">
        <v>21</v>
      </c>
      <c r="I14" s="50">
        <f>SUM(I8:I13)</f>
        <v>12.92242894736842</v>
      </c>
      <c r="J14" s="50">
        <f>SUM(J8:J13)</f>
        <v>12.92242894736842</v>
      </c>
    </row>
    <row r="15" spans="1:10" ht="15" thickBot="1" x14ac:dyDescent="0.4">
      <c r="A15" s="24"/>
      <c r="B15" s="67"/>
      <c r="C15" s="68">
        <v>0.02</v>
      </c>
      <c r="D15" s="68">
        <v>0</v>
      </c>
      <c r="E15" s="68">
        <v>0.02</v>
      </c>
      <c r="F15" s="68" t="s">
        <v>30</v>
      </c>
      <c r="G15" s="68">
        <f>C15/E15</f>
        <v>1</v>
      </c>
      <c r="H15" s="68"/>
      <c r="I15" s="69">
        <f>E15*H15</f>
        <v>0</v>
      </c>
      <c r="J15" s="9"/>
    </row>
    <row r="16" spans="1:10" x14ac:dyDescent="0.35">
      <c r="A16" s="85"/>
      <c r="B16" s="85"/>
      <c r="C16" s="85">
        <f>SUM(C8:C15)</f>
        <v>2.77</v>
      </c>
      <c r="D16" s="85">
        <v>0</v>
      </c>
      <c r="E16" s="85">
        <f>SUM(E8:E15)</f>
        <v>2.77</v>
      </c>
      <c r="F16" s="85" t="s">
        <v>19</v>
      </c>
      <c r="G16" s="85">
        <f>C16/E16</f>
        <v>1</v>
      </c>
      <c r="H16" s="85" t="s">
        <v>21</v>
      </c>
      <c r="I16" s="85">
        <f>SUM(I8:I15)</f>
        <v>25.84485789473684</v>
      </c>
      <c r="J16" s="85"/>
    </row>
    <row r="19" spans="1:10" x14ac:dyDescent="0.35">
      <c r="A19" s="86" t="s">
        <v>0</v>
      </c>
      <c r="B19" s="86"/>
      <c r="C19" s="86" t="s">
        <v>22</v>
      </c>
      <c r="D19" s="86"/>
      <c r="E19" s="86"/>
      <c r="F19" s="86"/>
      <c r="G19" s="1" t="s">
        <v>1</v>
      </c>
      <c r="H19" s="2"/>
      <c r="I19" s="58">
        <f>I32</f>
        <v>13.318099999999998</v>
      </c>
      <c r="J19" s="58">
        <f>J32</f>
        <v>18.1008</v>
      </c>
    </row>
    <row r="20" spans="1:10" ht="15" thickBot="1" x14ac:dyDescent="0.4">
      <c r="A20" s="70" t="s">
        <v>2</v>
      </c>
      <c r="B20" s="71"/>
      <c r="C20" s="72" t="s">
        <v>114</v>
      </c>
      <c r="D20" s="73"/>
      <c r="E20" s="73"/>
      <c r="F20" s="74"/>
      <c r="G20" s="3" t="s">
        <v>3</v>
      </c>
      <c r="H20" s="4"/>
      <c r="I20" s="5">
        <f>I19/C22</f>
        <v>9.3460350877192973</v>
      </c>
      <c r="J20" s="5">
        <f>J19/C22</f>
        <v>12.702315789473685</v>
      </c>
    </row>
    <row r="21" spans="1:10" ht="15" thickBot="1" x14ac:dyDescent="0.4">
      <c r="A21" s="75" t="s">
        <v>4</v>
      </c>
      <c r="B21" s="76"/>
      <c r="C21" s="77">
        <v>1</v>
      </c>
      <c r="D21" s="78"/>
      <c r="E21" s="78"/>
      <c r="F21" s="79"/>
      <c r="G21" s="6" t="s">
        <v>5</v>
      </c>
      <c r="H21" s="7"/>
      <c r="I21" s="8">
        <v>5</v>
      </c>
      <c r="J21" s="8">
        <v>5</v>
      </c>
    </row>
    <row r="22" spans="1:10" ht="15" thickBot="1" x14ac:dyDescent="0.4">
      <c r="A22" s="80" t="s">
        <v>6</v>
      </c>
      <c r="B22" s="81"/>
      <c r="C22" s="82">
        <f>E32/C21</f>
        <v>1.4249999999999998</v>
      </c>
      <c r="D22" s="83"/>
      <c r="E22" s="83"/>
      <c r="F22" s="84"/>
      <c r="G22" s="6" t="s">
        <v>7</v>
      </c>
      <c r="H22" s="7"/>
      <c r="I22" s="10">
        <f>I20*I21</f>
        <v>46.73017543859649</v>
      </c>
      <c r="J22" s="10">
        <f>J20*J21</f>
        <v>63.511578947368427</v>
      </c>
    </row>
    <row r="23" spans="1:10" ht="15" thickBot="1" x14ac:dyDescent="0.4">
      <c r="A23" s="61" t="s">
        <v>8</v>
      </c>
      <c r="B23" s="62"/>
      <c r="C23" s="62" t="s">
        <v>23</v>
      </c>
      <c r="D23" s="62"/>
      <c r="E23" s="62"/>
      <c r="F23" s="63"/>
      <c r="G23" s="6" t="s">
        <v>9</v>
      </c>
      <c r="H23" s="7"/>
      <c r="I23" s="11">
        <f>I20/I22</f>
        <v>0.19999999999999998</v>
      </c>
      <c r="J23" s="11">
        <f>J20/J22</f>
        <v>0.19999999999999998</v>
      </c>
    </row>
    <row r="24" spans="1:10" x14ac:dyDescent="0.35">
      <c r="A24" s="64"/>
      <c r="B24" s="65"/>
      <c r="C24" s="65"/>
      <c r="D24" s="65"/>
      <c r="E24" s="65"/>
      <c r="F24" s="66"/>
      <c r="G24" s="22"/>
      <c r="H24" s="22"/>
      <c r="I24" s="23"/>
      <c r="J24" s="12"/>
    </row>
    <row r="25" spans="1:10" ht="26.5" x14ac:dyDescent="0.35">
      <c r="A25" s="15" t="s">
        <v>10</v>
      </c>
      <c r="B25" s="15" t="s">
        <v>11</v>
      </c>
      <c r="C25" s="15" t="s">
        <v>12</v>
      </c>
      <c r="D25" s="15" t="s">
        <v>13</v>
      </c>
      <c r="E25" s="15" t="s">
        <v>14</v>
      </c>
      <c r="F25" s="15" t="s">
        <v>15</v>
      </c>
      <c r="G25" s="15" t="s">
        <v>16</v>
      </c>
      <c r="H25" s="15" t="s">
        <v>17</v>
      </c>
      <c r="I25" s="15" t="s">
        <v>18</v>
      </c>
      <c r="J25" s="20" t="s">
        <v>108</v>
      </c>
    </row>
    <row r="26" spans="1:10" x14ac:dyDescent="0.35">
      <c r="A26" s="25" t="s">
        <v>48</v>
      </c>
      <c r="B26" s="26"/>
      <c r="C26" s="27">
        <v>1</v>
      </c>
      <c r="D26" s="28"/>
      <c r="E26" s="28">
        <v>0.83</v>
      </c>
      <c r="F26" s="28" t="s">
        <v>19</v>
      </c>
      <c r="G26" s="28">
        <f>C26/E26</f>
        <v>1.2048192771084338</v>
      </c>
      <c r="H26" s="55">
        <v>7.15</v>
      </c>
      <c r="I26" s="30">
        <f>E26*H26</f>
        <v>5.9344999999999999</v>
      </c>
      <c r="J26" s="21">
        <f>C26*H26</f>
        <v>7.15</v>
      </c>
    </row>
    <row r="27" spans="1:10" x14ac:dyDescent="0.35">
      <c r="A27" s="25" t="s">
        <v>110</v>
      </c>
      <c r="B27" s="26"/>
      <c r="C27" s="27">
        <v>7</v>
      </c>
      <c r="D27" s="28"/>
      <c r="E27" s="28">
        <v>0.14000000000000001</v>
      </c>
      <c r="F27" s="28" t="s">
        <v>19</v>
      </c>
      <c r="G27" s="28">
        <f>C27/E27</f>
        <v>49.999999999999993</v>
      </c>
      <c r="H27" s="55">
        <v>0.52</v>
      </c>
      <c r="I27" s="30">
        <f>E27*H27</f>
        <v>7.2800000000000004E-2</v>
      </c>
      <c r="J27" s="21">
        <f t="shared" ref="J27:J31" si="3">C27*H27</f>
        <v>3.64</v>
      </c>
    </row>
    <row r="28" spans="1:10" x14ac:dyDescent="0.35">
      <c r="A28" s="25" t="s">
        <v>42</v>
      </c>
      <c r="B28" s="26"/>
      <c r="C28" s="27">
        <v>0.27500000000000002</v>
      </c>
      <c r="D28" s="28"/>
      <c r="E28" s="28">
        <v>0.27500000000000002</v>
      </c>
      <c r="F28" s="28" t="s">
        <v>19</v>
      </c>
      <c r="G28" s="28">
        <f t="shared" ref="G28:G29" si="4">C28/E28</f>
        <v>1</v>
      </c>
      <c r="H28" s="55">
        <v>5.9</v>
      </c>
      <c r="I28" s="30">
        <f t="shared" ref="I28:I29" si="5">E28*H28</f>
        <v>1.6225000000000003</v>
      </c>
      <c r="J28" s="21">
        <f t="shared" si="3"/>
        <v>1.6225000000000003</v>
      </c>
    </row>
    <row r="29" spans="1:10" x14ac:dyDescent="0.35">
      <c r="A29" s="25" t="s">
        <v>111</v>
      </c>
      <c r="B29" s="26"/>
      <c r="C29" s="27">
        <v>1.4999999999999999E-2</v>
      </c>
      <c r="D29" s="28"/>
      <c r="E29" s="28">
        <v>1.4999999999999999E-2</v>
      </c>
      <c r="F29" s="28" t="s">
        <v>19</v>
      </c>
      <c r="G29" s="28">
        <f t="shared" si="4"/>
        <v>1</v>
      </c>
      <c r="H29" s="55">
        <v>2.72</v>
      </c>
      <c r="I29" s="30">
        <f t="shared" si="5"/>
        <v>4.0800000000000003E-2</v>
      </c>
      <c r="J29" s="21">
        <f t="shared" si="3"/>
        <v>4.0800000000000003E-2</v>
      </c>
    </row>
    <row r="30" spans="1:10" x14ac:dyDescent="0.35">
      <c r="A30" s="44" t="s">
        <v>112</v>
      </c>
      <c r="B30" s="32"/>
      <c r="C30" s="42">
        <v>0.15</v>
      </c>
      <c r="D30" s="34"/>
      <c r="E30" s="33">
        <v>0.15</v>
      </c>
      <c r="F30" s="33" t="s">
        <v>19</v>
      </c>
      <c r="G30" s="35">
        <f>C30/E30</f>
        <v>1</v>
      </c>
      <c r="H30" s="54">
        <v>32.799999999999997</v>
      </c>
      <c r="I30" s="37">
        <f>E30*H30</f>
        <v>4.919999999999999</v>
      </c>
      <c r="J30" s="21">
        <f t="shared" si="3"/>
        <v>4.919999999999999</v>
      </c>
    </row>
    <row r="31" spans="1:10" ht="15" thickBot="1" x14ac:dyDescent="0.4">
      <c r="A31" s="44" t="s">
        <v>113</v>
      </c>
      <c r="B31" s="32"/>
      <c r="C31" s="42">
        <v>1.4999999999999999E-2</v>
      </c>
      <c r="D31" s="34"/>
      <c r="E31" s="39">
        <v>1.4999999999999999E-2</v>
      </c>
      <c r="F31" s="39" t="s">
        <v>19</v>
      </c>
      <c r="G31" s="35">
        <f>C31/E31</f>
        <v>1</v>
      </c>
      <c r="H31" s="56">
        <v>48.5</v>
      </c>
      <c r="I31" s="41">
        <f>E31*H31</f>
        <v>0.72749999999999992</v>
      </c>
      <c r="J31" s="21">
        <f t="shared" si="3"/>
        <v>0.72749999999999992</v>
      </c>
    </row>
    <row r="32" spans="1:10" ht="15" thickBot="1" x14ac:dyDescent="0.4">
      <c r="A32" s="13" t="s">
        <v>20</v>
      </c>
      <c r="B32" s="16"/>
      <c r="C32" s="14">
        <f>SUM(C26:C31)</f>
        <v>8.4550000000000018</v>
      </c>
      <c r="D32" s="16"/>
      <c r="E32" s="17">
        <f>SUM(E26:E31)</f>
        <v>1.4249999999999998</v>
      </c>
      <c r="F32" s="14" t="s">
        <v>19</v>
      </c>
      <c r="G32" s="16"/>
      <c r="H32" s="18" t="s">
        <v>21</v>
      </c>
      <c r="I32" s="19">
        <f>SUM(I26:I31)</f>
        <v>13.318099999999998</v>
      </c>
      <c r="J32" s="19">
        <f>SUM(J26:J31)</f>
        <v>18.1008</v>
      </c>
    </row>
    <row r="33" spans="1:10" ht="15" thickBot="1" x14ac:dyDescent="0.4">
      <c r="A33" s="24"/>
      <c r="B33" s="67"/>
      <c r="C33" s="68">
        <v>0.02</v>
      </c>
      <c r="D33" s="68">
        <v>0</v>
      </c>
      <c r="E33" s="68">
        <v>0.02</v>
      </c>
      <c r="F33" s="68" t="s">
        <v>30</v>
      </c>
      <c r="G33" s="68">
        <f>C33/E33</f>
        <v>1</v>
      </c>
      <c r="H33" s="68"/>
      <c r="I33" s="69">
        <f>E33*H33</f>
        <v>0</v>
      </c>
      <c r="J33" s="9"/>
    </row>
  </sheetData>
  <mergeCells count="21">
    <mergeCell ref="A19:B19"/>
    <mergeCell ref="C19:F19"/>
    <mergeCell ref="A1:B1"/>
    <mergeCell ref="C1:F1"/>
    <mergeCell ref="A2:B2"/>
    <mergeCell ref="C2:F2"/>
    <mergeCell ref="A3:B3"/>
    <mergeCell ref="C3:F3"/>
    <mergeCell ref="A4:B4"/>
    <mergeCell ref="C4:F4"/>
    <mergeCell ref="A5:F6"/>
    <mergeCell ref="B15:I15"/>
    <mergeCell ref="A16:J16"/>
    <mergeCell ref="A23:F24"/>
    <mergeCell ref="B33:I33"/>
    <mergeCell ref="A20:B20"/>
    <mergeCell ref="C20:F20"/>
    <mergeCell ref="A21:B21"/>
    <mergeCell ref="C21:F21"/>
    <mergeCell ref="A22:B22"/>
    <mergeCell ref="C22:F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555B-B921-42FF-8FE2-05D90CB163F8}">
  <dimension ref="A1:G15"/>
  <sheetViews>
    <sheetView tabSelected="1" workbookViewId="0">
      <selection activeCell="B4" sqref="B4"/>
    </sheetView>
  </sheetViews>
  <sheetFormatPr defaultRowHeight="14.5" x14ac:dyDescent="0.35"/>
  <cols>
    <col min="1" max="1" width="39.453125" customWidth="1"/>
    <col min="2" max="7" width="16.08984375" customWidth="1"/>
  </cols>
  <sheetData>
    <row r="1" spans="1:7" x14ac:dyDescent="0.35">
      <c r="A1" s="88" t="s">
        <v>128</v>
      </c>
    </row>
    <row r="2" spans="1:7" x14ac:dyDescent="0.35">
      <c r="B2" s="90" t="s">
        <v>129</v>
      </c>
      <c r="C2" s="90" t="s">
        <v>130</v>
      </c>
      <c r="D2" s="90" t="s">
        <v>131</v>
      </c>
      <c r="E2" s="90" t="s">
        <v>132</v>
      </c>
      <c r="F2" s="90" t="s">
        <v>133</v>
      </c>
      <c r="G2" s="90" t="s">
        <v>134</v>
      </c>
    </row>
    <row r="3" spans="1:7" x14ac:dyDescent="0.35">
      <c r="A3" s="2" t="s">
        <v>84</v>
      </c>
      <c r="B3" s="87">
        <f>'EMPADÃO DE FRANGO COM SALADA '!J2</f>
        <v>7.0183999999999997</v>
      </c>
      <c r="C3" s="89">
        <f>B3*3</f>
        <v>21.055199999999999</v>
      </c>
      <c r="D3" s="89">
        <f>B3*3.5</f>
        <v>24.564399999999999</v>
      </c>
      <c r="E3" s="89">
        <f>B3*4</f>
        <v>28.073599999999999</v>
      </c>
      <c r="F3" s="89">
        <f>B3*4.5</f>
        <v>31.582799999999999</v>
      </c>
      <c r="G3" s="89">
        <f>B3*5</f>
        <v>35.091999999999999</v>
      </c>
    </row>
    <row r="4" spans="1:7" x14ac:dyDescent="0.35">
      <c r="A4" s="2" t="s">
        <v>120</v>
      </c>
      <c r="B4" s="87">
        <f>'MINI ORELHA EXECUTIVO'!J2</f>
        <v>9.9135999999999989</v>
      </c>
      <c r="C4" s="89">
        <f t="shared" ref="C4:C15" si="0">B4*3</f>
        <v>29.740799999999997</v>
      </c>
      <c r="D4" s="89">
        <f t="shared" ref="D4:D15" si="1">B4*3.5</f>
        <v>34.697599999999994</v>
      </c>
      <c r="E4" s="89">
        <f t="shared" ref="E4:E15" si="2">B4*4</f>
        <v>39.654399999999995</v>
      </c>
      <c r="F4" s="89">
        <f t="shared" ref="F4:F15" si="3">B4*4.5</f>
        <v>44.611199999999997</v>
      </c>
      <c r="G4" s="89">
        <f t="shared" ref="G4:G15" si="4">B4*5</f>
        <v>49.567999999999998</v>
      </c>
    </row>
    <row r="5" spans="1:7" x14ac:dyDescent="0.35">
      <c r="A5" s="2" t="s">
        <v>127</v>
      </c>
      <c r="B5" s="87">
        <f>'CARNE GUISADA  COM BATATA CORAD'!J2</f>
        <v>8.9211000000000009</v>
      </c>
      <c r="C5" s="89">
        <f t="shared" si="0"/>
        <v>26.763300000000001</v>
      </c>
      <c r="D5" s="89">
        <f t="shared" si="1"/>
        <v>31.223850000000002</v>
      </c>
      <c r="E5" s="89">
        <f t="shared" si="2"/>
        <v>35.684400000000004</v>
      </c>
      <c r="F5" s="89">
        <f t="shared" si="3"/>
        <v>40.144950000000001</v>
      </c>
      <c r="G5" s="89">
        <f t="shared" si="4"/>
        <v>44.605500000000006</v>
      </c>
    </row>
    <row r="6" spans="1:7" x14ac:dyDescent="0.35">
      <c r="A6" s="2" t="s">
        <v>121</v>
      </c>
      <c r="B6" s="87">
        <f>'CARNE SECA COM TUTU À MINEIRA'!J2</f>
        <v>17.133727443609025</v>
      </c>
      <c r="C6" s="89">
        <f t="shared" si="0"/>
        <v>51.401182330827076</v>
      </c>
      <c r="D6" s="89">
        <f t="shared" si="1"/>
        <v>59.968046052631593</v>
      </c>
      <c r="E6" s="89">
        <f t="shared" si="2"/>
        <v>68.534909774436102</v>
      </c>
      <c r="F6" s="89">
        <f t="shared" si="3"/>
        <v>77.101773496240611</v>
      </c>
      <c r="G6" s="89">
        <f t="shared" si="4"/>
        <v>85.66863721804512</v>
      </c>
    </row>
    <row r="7" spans="1:7" x14ac:dyDescent="0.35">
      <c r="A7" s="2" t="s">
        <v>122</v>
      </c>
      <c r="B7" s="87">
        <f>'ISCA DE FÍGADO COM PURÊ'!J2</f>
        <v>5.4861499999999994</v>
      </c>
      <c r="C7" s="89">
        <f t="shared" si="0"/>
        <v>16.458449999999999</v>
      </c>
      <c r="D7" s="89">
        <f t="shared" si="1"/>
        <v>19.201524999999997</v>
      </c>
      <c r="E7" s="89">
        <f t="shared" si="2"/>
        <v>21.944599999999998</v>
      </c>
      <c r="F7" s="89">
        <f t="shared" si="3"/>
        <v>24.687674999999999</v>
      </c>
      <c r="G7" s="89">
        <f t="shared" si="4"/>
        <v>27.430749999999996</v>
      </c>
    </row>
    <row r="8" spans="1:7" x14ac:dyDescent="0.35">
      <c r="A8" s="2" t="s">
        <v>123</v>
      </c>
      <c r="B8" s="87">
        <f>'FILÉ FRANGO EMPANADO COM FRITAS'!J2</f>
        <v>5.6787000000000001</v>
      </c>
      <c r="C8" s="89">
        <f t="shared" si="0"/>
        <v>17.036100000000001</v>
      </c>
      <c r="D8" s="89">
        <f t="shared" si="1"/>
        <v>19.875450000000001</v>
      </c>
      <c r="E8" s="89">
        <f t="shared" si="2"/>
        <v>22.7148</v>
      </c>
      <c r="F8" s="89">
        <f t="shared" si="3"/>
        <v>25.55415</v>
      </c>
      <c r="G8" s="89">
        <f t="shared" si="4"/>
        <v>28.3935</v>
      </c>
    </row>
    <row r="9" spans="1:7" x14ac:dyDescent="0.35">
      <c r="A9" s="2" t="s">
        <v>124</v>
      </c>
      <c r="B9" s="87">
        <f>'FILÉ FRANGO FRITAS'!J2</f>
        <v>5.8727</v>
      </c>
      <c r="C9" s="89">
        <f t="shared" si="0"/>
        <v>17.618099999999998</v>
      </c>
      <c r="D9" s="89">
        <f t="shared" si="1"/>
        <v>20.554449999999999</v>
      </c>
      <c r="E9" s="89">
        <f t="shared" si="2"/>
        <v>23.4908</v>
      </c>
      <c r="F9" s="89">
        <f t="shared" si="3"/>
        <v>26.427150000000001</v>
      </c>
      <c r="G9" s="89">
        <f t="shared" si="4"/>
        <v>29.363500000000002</v>
      </c>
    </row>
    <row r="10" spans="1:7" x14ac:dyDescent="0.35">
      <c r="A10" s="2" t="s">
        <v>107</v>
      </c>
      <c r="B10" s="87">
        <f>'FILÉ DE FRANGO COM LEGUMES'!J2</f>
        <v>7.1034000000000006</v>
      </c>
      <c r="C10" s="89">
        <f t="shared" si="0"/>
        <v>21.310200000000002</v>
      </c>
      <c r="D10" s="89">
        <f t="shared" si="1"/>
        <v>24.861900000000002</v>
      </c>
      <c r="E10" s="89">
        <f t="shared" si="2"/>
        <v>28.413600000000002</v>
      </c>
      <c r="F10" s="89">
        <f t="shared" si="3"/>
        <v>31.965300000000003</v>
      </c>
      <c r="G10" s="89">
        <f t="shared" si="4"/>
        <v>35.517000000000003</v>
      </c>
    </row>
    <row r="11" spans="1:7" x14ac:dyDescent="0.35">
      <c r="A11" s="2" t="s">
        <v>75</v>
      </c>
      <c r="B11" s="87">
        <f>'FILÉ DE PEIXE COM LEGUMES'!J2</f>
        <v>11.372400000000001</v>
      </c>
      <c r="C11" s="89">
        <f t="shared" si="0"/>
        <v>34.117200000000004</v>
      </c>
      <c r="D11" s="89">
        <f t="shared" si="1"/>
        <v>39.803400000000003</v>
      </c>
      <c r="E11" s="89">
        <f t="shared" si="2"/>
        <v>45.489600000000003</v>
      </c>
      <c r="F11" s="89">
        <f t="shared" si="3"/>
        <v>51.175800000000002</v>
      </c>
      <c r="G11" s="89">
        <f t="shared" si="4"/>
        <v>56.862000000000002</v>
      </c>
    </row>
    <row r="12" spans="1:7" x14ac:dyDescent="0.35">
      <c r="A12" s="2" t="s">
        <v>125</v>
      </c>
      <c r="B12" s="87">
        <f>'FILÉ DE PEIXE COM PURÊ'!J2</f>
        <v>10.481900000000001</v>
      </c>
      <c r="C12" s="89">
        <f t="shared" si="0"/>
        <v>31.445700000000002</v>
      </c>
      <c r="D12" s="89">
        <f t="shared" si="1"/>
        <v>36.686650000000007</v>
      </c>
      <c r="E12" s="89">
        <f t="shared" si="2"/>
        <v>41.927600000000005</v>
      </c>
      <c r="F12" s="89">
        <f t="shared" si="3"/>
        <v>47.168550000000003</v>
      </c>
      <c r="G12" s="89">
        <f t="shared" si="4"/>
        <v>52.409500000000008</v>
      </c>
    </row>
    <row r="13" spans="1:7" x14ac:dyDescent="0.35">
      <c r="A13" s="2" t="s">
        <v>52</v>
      </c>
      <c r="B13" s="87">
        <f>'PERNIL COM MAIONESE'!J2</f>
        <v>6.7469000000000001</v>
      </c>
      <c r="C13" s="89">
        <f t="shared" si="0"/>
        <v>20.2407</v>
      </c>
      <c r="D13" s="89">
        <f t="shared" si="1"/>
        <v>23.614150000000002</v>
      </c>
      <c r="E13" s="89">
        <f t="shared" si="2"/>
        <v>26.9876</v>
      </c>
      <c r="F13" s="89">
        <f t="shared" si="3"/>
        <v>30.361049999999999</v>
      </c>
      <c r="G13" s="89">
        <f t="shared" si="4"/>
        <v>33.734499999999997</v>
      </c>
    </row>
    <row r="14" spans="1:7" x14ac:dyDescent="0.35">
      <c r="A14" s="2" t="s">
        <v>126</v>
      </c>
      <c r="B14" s="87">
        <f>'SCHNITZEL COM MAIONESE'!J2</f>
        <v>4.665</v>
      </c>
      <c r="C14" s="89">
        <f t="shared" si="0"/>
        <v>13.995000000000001</v>
      </c>
      <c r="D14" s="89">
        <f t="shared" si="1"/>
        <v>16.327500000000001</v>
      </c>
      <c r="E14" s="89">
        <f t="shared" si="2"/>
        <v>18.66</v>
      </c>
      <c r="F14" s="89">
        <f t="shared" si="3"/>
        <v>20.9925</v>
      </c>
      <c r="G14" s="89">
        <f t="shared" si="4"/>
        <v>23.324999999999999</v>
      </c>
    </row>
    <row r="15" spans="1:7" x14ac:dyDescent="0.35">
      <c r="A15" s="2" t="s">
        <v>109</v>
      </c>
      <c r="B15" s="87">
        <f>'GNOCCHI COM CARNE ASSADA'!J2</f>
        <v>12.92242894736842</v>
      </c>
      <c r="C15" s="89">
        <f t="shared" si="0"/>
        <v>38.767286842105264</v>
      </c>
      <c r="D15" s="89">
        <f t="shared" si="1"/>
        <v>45.228501315789472</v>
      </c>
      <c r="E15" s="89">
        <f t="shared" si="2"/>
        <v>51.689715789473681</v>
      </c>
      <c r="F15" s="89">
        <f t="shared" si="3"/>
        <v>58.150930263157889</v>
      </c>
      <c r="G15" s="89">
        <f t="shared" si="4"/>
        <v>64.612144736842097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EMPADÃO DE FRANGO COM SALADA </vt:lpstr>
      <vt:lpstr>MINI ORELHA EXECUTIVO</vt:lpstr>
      <vt:lpstr>CARNE GUISADA  COM BATATA CORAD</vt:lpstr>
      <vt:lpstr>CARNE SECA COM TUTU À MINEIRA</vt:lpstr>
      <vt:lpstr>ISCA DE FÍGADO COM PURÊ</vt:lpstr>
      <vt:lpstr>FILÉ FRANGO EMPANADO COM FRITAS</vt:lpstr>
      <vt:lpstr>FILÉ FRANGO FRITAS</vt:lpstr>
      <vt:lpstr>FILÉ DE FRANGO COM LEGUMES</vt:lpstr>
      <vt:lpstr>FILÉ DE PEIXE COM LEGUMES</vt:lpstr>
      <vt:lpstr>FILÉ DE PEIXE COM PURÊ</vt:lpstr>
      <vt:lpstr>PERNIL COM MAIONESE</vt:lpstr>
      <vt:lpstr>SCHNITZEL COM MAIONESE</vt:lpstr>
      <vt:lpstr>GNOCCHI COM CARNE ASSADA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Carlos Laffargue</dc:creator>
  <cp:lastModifiedBy>BFW Group</cp:lastModifiedBy>
  <dcterms:created xsi:type="dcterms:W3CDTF">2026-09-21T22:50:04Z</dcterms:created>
  <dcterms:modified xsi:type="dcterms:W3CDTF">2026-09-22T22:17:12Z</dcterms:modified>
</cp:coreProperties>
</file>