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m-vindo(a)\Downloads\"/>
    </mc:Choice>
  </mc:AlternateContent>
  <xr:revisionPtr revIDLastSave="0" documentId="13_ncr:1_{86B76587-DC94-434F-8EBC-10440E861F83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Geral" sheetId="1" r:id="rId1"/>
    <sheet name="Hortifruti" sheetId="2" r:id="rId2"/>
    <sheet name="Massas" sheetId="3" r:id="rId3"/>
    <sheet name="Porcionados" sheetId="4" r:id="rId4"/>
    <sheet name="Molhos" sheetId="5" r:id="rId5"/>
    <sheet name="Bebidas Álcoolicas" sheetId="6" r:id="rId6"/>
    <sheet name="Bebidas não Álcoolicas" sheetId="7" r:id="rId7"/>
    <sheet name="Perda" sheetId="8" r:id="rId8"/>
  </sheets>
  <definedNames>
    <definedName name="_xlnm._FilterDatabase" localSheetId="6" hidden="1">'Bebidas não Álcoolicas'!$A$1:$G$70</definedName>
    <definedName name="_xlnm._FilterDatabase" localSheetId="1" hidden="1">Hortifruti!$A$2:$G$105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gCCV6esfZE+/yk3rZUxdblm/8Itg9Og67S+Xp301nNU="/>
    </ext>
  </extLst>
</workbook>
</file>

<file path=xl/calcChain.xml><?xml version="1.0" encoding="utf-8"?>
<calcChain xmlns="http://schemas.openxmlformats.org/spreadsheetml/2006/main">
  <c r="E72" i="7" l="1"/>
  <c r="E60" i="7"/>
  <c r="E45" i="7"/>
  <c r="E35" i="7"/>
  <c r="E25" i="7"/>
  <c r="E23" i="7"/>
  <c r="E213" i="6"/>
  <c r="E208" i="6"/>
  <c r="E197" i="6"/>
  <c r="E180" i="6"/>
  <c r="E87" i="6"/>
  <c r="E49" i="6"/>
  <c r="E25" i="6"/>
  <c r="E10" i="6"/>
  <c r="E7" i="6"/>
  <c r="E30" i="5"/>
  <c r="E117" i="4"/>
  <c r="E115" i="4"/>
  <c r="E107" i="4"/>
  <c r="E105" i="4"/>
  <c r="E101" i="4"/>
  <c r="E90" i="4"/>
  <c r="E75" i="4"/>
  <c r="E74" i="4"/>
  <c r="E55" i="4"/>
  <c r="E47" i="4"/>
  <c r="E35" i="4"/>
  <c r="E49" i="3"/>
  <c r="E107" i="2"/>
  <c r="Z144" i="1"/>
  <c r="Z64" i="1"/>
  <c r="Z36" i="1"/>
  <c r="S71" i="1"/>
  <c r="S62" i="1"/>
  <c r="S45" i="1"/>
  <c r="S42" i="1"/>
  <c r="S35" i="1"/>
  <c r="S31" i="1"/>
  <c r="S11" i="1"/>
  <c r="L78" i="1"/>
  <c r="L73" i="1"/>
  <c r="L69" i="1"/>
  <c r="L61" i="1"/>
  <c r="L59" i="1"/>
  <c r="L56" i="1"/>
  <c r="L53" i="1"/>
  <c r="L44" i="1"/>
  <c r="L29" i="1"/>
  <c r="E71" i="1"/>
  <c r="E58" i="1"/>
  <c r="E51" i="1"/>
  <c r="E40" i="1"/>
  <c r="E34" i="1"/>
  <c r="E18" i="1"/>
  <c r="E15" i="1"/>
  <c r="E13" i="1"/>
  <c r="E7" i="1"/>
  <c r="E5" i="1"/>
  <c r="E3" i="1"/>
  <c r="E68" i="6"/>
  <c r="G68" i="6"/>
  <c r="G59" i="7"/>
  <c r="E59" i="7"/>
  <c r="E134" i="6"/>
  <c r="G134" i="6"/>
  <c r="E9" i="4"/>
  <c r="G20" i="6" l="1"/>
  <c r="E20" i="6"/>
  <c r="E65" i="7"/>
  <c r="E79" i="6"/>
  <c r="G79" i="6"/>
  <c r="E137" i="6"/>
  <c r="G137" i="6"/>
  <c r="E104" i="6"/>
  <c r="G104" i="6"/>
  <c r="E110" i="6"/>
  <c r="G110" i="6"/>
  <c r="G182" i="6" l="1"/>
  <c r="E182" i="6"/>
  <c r="E80" i="6"/>
  <c r="G80" i="6"/>
  <c r="N11" i="1"/>
  <c r="G64" i="6"/>
  <c r="E64" i="6"/>
  <c r="E59" i="6"/>
  <c r="G59" i="6"/>
  <c r="E31" i="4"/>
  <c r="E33" i="3"/>
  <c r="N56" i="1" l="1"/>
  <c r="E8" i="7"/>
  <c r="G8" i="7"/>
  <c r="E9" i="7"/>
  <c r="G9" i="7"/>
  <c r="E94" i="4" l="1"/>
  <c r="E95" i="4"/>
  <c r="E56" i="7" l="1"/>
  <c r="G56" i="7"/>
  <c r="G38" i="7"/>
  <c r="E38" i="7"/>
  <c r="E33" i="4"/>
  <c r="E14" i="3"/>
  <c r="AB43" i="1"/>
  <c r="E4" i="1"/>
  <c r="G62" i="7" l="1"/>
  <c r="G61" i="7"/>
  <c r="G60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7" i="7"/>
  <c r="G6" i="7"/>
  <c r="G5" i="7"/>
  <c r="G4" i="7"/>
  <c r="G3" i="7"/>
  <c r="E3" i="7"/>
  <c r="E4" i="7"/>
  <c r="E5" i="7"/>
  <c r="E6" i="7"/>
  <c r="E7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4" i="7"/>
  <c r="E26" i="7"/>
  <c r="E27" i="7"/>
  <c r="E28" i="7"/>
  <c r="E29" i="7"/>
  <c r="E30" i="7"/>
  <c r="E31" i="7"/>
  <c r="E32" i="7"/>
  <c r="E33" i="7"/>
  <c r="E34" i="7"/>
  <c r="E36" i="7"/>
  <c r="E37" i="7"/>
  <c r="E39" i="7"/>
  <c r="E40" i="7"/>
  <c r="E41" i="7"/>
  <c r="E42" i="7"/>
  <c r="E43" i="7"/>
  <c r="E44" i="7"/>
  <c r="E46" i="7"/>
  <c r="E47" i="7"/>
  <c r="E48" i="7"/>
  <c r="E49" i="7"/>
  <c r="E50" i="7"/>
  <c r="E51" i="7"/>
  <c r="E52" i="7"/>
  <c r="E53" i="7"/>
  <c r="E54" i="7"/>
  <c r="E55" i="7"/>
  <c r="E57" i="7"/>
  <c r="E58" i="7"/>
  <c r="E61" i="7"/>
  <c r="E62" i="7"/>
  <c r="E63" i="7"/>
  <c r="E64" i="7"/>
  <c r="E66" i="7"/>
  <c r="E67" i="7"/>
  <c r="E68" i="7"/>
  <c r="E69" i="7"/>
  <c r="E70" i="7"/>
  <c r="E186" i="6"/>
  <c r="E187" i="6"/>
  <c r="E188" i="6"/>
  <c r="E189" i="6"/>
  <c r="E190" i="6"/>
  <c r="E191" i="6"/>
  <c r="E192" i="6"/>
  <c r="E193" i="6"/>
  <c r="E194" i="6"/>
  <c r="E195" i="6"/>
  <c r="E196" i="6"/>
  <c r="E198" i="6"/>
  <c r="E199" i="6"/>
  <c r="E200" i="6"/>
  <c r="E201" i="6"/>
  <c r="E202" i="6"/>
  <c r="E203" i="6"/>
  <c r="E204" i="6"/>
  <c r="E205" i="6"/>
  <c r="E206" i="6"/>
  <c r="E207" i="6"/>
  <c r="E209" i="6"/>
  <c r="E210" i="6"/>
  <c r="E211" i="6"/>
  <c r="E4" i="6"/>
  <c r="E5" i="6"/>
  <c r="E6" i="6"/>
  <c r="E8" i="6"/>
  <c r="E9" i="6"/>
  <c r="E11" i="6"/>
  <c r="E12" i="6"/>
  <c r="E13" i="6"/>
  <c r="E14" i="6"/>
  <c r="E15" i="6"/>
  <c r="E16" i="6"/>
  <c r="E17" i="6"/>
  <c r="E18" i="6"/>
  <c r="E19" i="6"/>
  <c r="E21" i="6"/>
  <c r="E22" i="6"/>
  <c r="E23" i="6"/>
  <c r="E24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50" i="6"/>
  <c r="E51" i="6"/>
  <c r="E52" i="6"/>
  <c r="E53" i="6"/>
  <c r="E54" i="6"/>
  <c r="E55" i="6"/>
  <c r="E56" i="6"/>
  <c r="E57" i="6"/>
  <c r="E58" i="6"/>
  <c r="E60" i="6"/>
  <c r="E61" i="6"/>
  <c r="E62" i="6"/>
  <c r="E63" i="6"/>
  <c r="E65" i="6"/>
  <c r="E66" i="6"/>
  <c r="E67" i="6"/>
  <c r="E69" i="6"/>
  <c r="E70" i="6"/>
  <c r="E71" i="6"/>
  <c r="E72" i="6"/>
  <c r="E73" i="6"/>
  <c r="E74" i="6"/>
  <c r="E75" i="6"/>
  <c r="E76" i="6"/>
  <c r="E77" i="6"/>
  <c r="E78" i="6"/>
  <c r="E81" i="6"/>
  <c r="E82" i="6"/>
  <c r="E83" i="6"/>
  <c r="E84" i="6"/>
  <c r="E85" i="6"/>
  <c r="E86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5" i="6"/>
  <c r="E106" i="6"/>
  <c r="E107" i="6"/>
  <c r="E108" i="6"/>
  <c r="E109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5" i="6"/>
  <c r="E136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1" i="6"/>
  <c r="E183" i="6"/>
  <c r="E184" i="6"/>
  <c r="E185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" i="5"/>
  <c r="E112" i="4"/>
  <c r="E113" i="4"/>
  <c r="E114" i="4"/>
  <c r="E111" i="4"/>
  <c r="E96" i="4"/>
  <c r="E97" i="4"/>
  <c r="E98" i="4"/>
  <c r="E99" i="4"/>
  <c r="E100" i="4"/>
  <c r="E102" i="4"/>
  <c r="E103" i="4"/>
  <c r="E104" i="4"/>
  <c r="E106" i="4"/>
  <c r="E93" i="4"/>
  <c r="E78" i="4"/>
  <c r="E79" i="4"/>
  <c r="E80" i="4"/>
  <c r="E81" i="4"/>
  <c r="E82" i="4"/>
  <c r="E83" i="4"/>
  <c r="E84" i="4"/>
  <c r="E85" i="4"/>
  <c r="E86" i="4"/>
  <c r="E87" i="4"/>
  <c r="E88" i="4"/>
  <c r="E89" i="4"/>
  <c r="E77" i="4"/>
  <c r="E68" i="4"/>
  <c r="E69" i="4"/>
  <c r="E70" i="4"/>
  <c r="E71" i="4"/>
  <c r="E72" i="4"/>
  <c r="E73" i="4"/>
  <c r="E67" i="4"/>
  <c r="E58" i="4"/>
  <c r="E59" i="4"/>
  <c r="E60" i="4"/>
  <c r="E61" i="4"/>
  <c r="E62" i="4"/>
  <c r="E63" i="4"/>
  <c r="E64" i="4"/>
  <c r="E57" i="4"/>
  <c r="E4" i="4"/>
  <c r="E5" i="4"/>
  <c r="E6" i="4"/>
  <c r="E7" i="4"/>
  <c r="E8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2" i="4"/>
  <c r="E34" i="4"/>
  <c r="E36" i="4"/>
  <c r="E37" i="4"/>
  <c r="E38" i="4"/>
  <c r="E39" i="4"/>
  <c r="E40" i="4"/>
  <c r="E41" i="4"/>
  <c r="E42" i="4"/>
  <c r="E43" i="4"/>
  <c r="E44" i="4"/>
  <c r="E45" i="4"/>
  <c r="E46" i="4"/>
  <c r="E48" i="4"/>
  <c r="E49" i="4"/>
  <c r="E50" i="4"/>
  <c r="E51" i="4"/>
  <c r="E52" i="4"/>
  <c r="E53" i="4"/>
  <c r="E54" i="4"/>
  <c r="E3" i="4"/>
  <c r="E4" i="3"/>
  <c r="E5" i="3"/>
  <c r="E6" i="3"/>
  <c r="E7" i="3"/>
  <c r="E8" i="3"/>
  <c r="E9" i="3"/>
  <c r="E10" i="3"/>
  <c r="E11" i="3"/>
  <c r="E12" i="3"/>
  <c r="E13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3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67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6" i="1"/>
  <c r="Z27" i="1"/>
  <c r="Z28" i="1"/>
  <c r="Z29" i="1"/>
  <c r="Z30" i="1"/>
  <c r="Z31" i="1"/>
  <c r="Z32" i="1"/>
  <c r="Z33" i="1"/>
  <c r="Z34" i="1"/>
  <c r="Z35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3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3" i="1"/>
  <c r="S64" i="1"/>
  <c r="S65" i="1"/>
  <c r="S66" i="1"/>
  <c r="S67" i="1"/>
  <c r="S68" i="1"/>
  <c r="S69" i="1"/>
  <c r="S48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6" i="1"/>
  <c r="S37" i="1"/>
  <c r="S38" i="1"/>
  <c r="S39" i="1"/>
  <c r="S40" i="1"/>
  <c r="S41" i="1"/>
  <c r="S43" i="1"/>
  <c r="S14" i="1"/>
  <c r="S4" i="1"/>
  <c r="S5" i="1"/>
  <c r="S6" i="1"/>
  <c r="S7" i="1"/>
  <c r="S8" i="1"/>
  <c r="S9" i="1"/>
  <c r="S3" i="1"/>
  <c r="L70" i="1"/>
  <c r="L71" i="1"/>
  <c r="L72" i="1"/>
  <c r="L74" i="1"/>
  <c r="L75" i="1"/>
  <c r="L76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5" i="1"/>
  <c r="L46" i="1"/>
  <c r="L47" i="1"/>
  <c r="L48" i="1"/>
  <c r="L49" i="1"/>
  <c r="L50" i="1"/>
  <c r="L51" i="1"/>
  <c r="L52" i="1"/>
  <c r="L54" i="1"/>
  <c r="L55" i="1"/>
  <c r="L57" i="1"/>
  <c r="L58" i="1"/>
  <c r="L60" i="1"/>
  <c r="L62" i="1"/>
  <c r="L63" i="1"/>
  <c r="L64" i="1"/>
  <c r="L65" i="1"/>
  <c r="L66" i="1"/>
  <c r="L67" i="1"/>
  <c r="L68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E62" i="1"/>
  <c r="E63" i="1"/>
  <c r="E64" i="1"/>
  <c r="E65" i="1"/>
  <c r="E66" i="1"/>
  <c r="E67" i="1"/>
  <c r="E68" i="1"/>
  <c r="E69" i="1"/>
  <c r="E61" i="1"/>
  <c r="E55" i="1"/>
  <c r="E54" i="1"/>
  <c r="E44" i="1"/>
  <c r="E45" i="1"/>
  <c r="E46" i="1"/>
  <c r="E47" i="1"/>
  <c r="E48" i="1"/>
  <c r="E49" i="1"/>
  <c r="E43" i="1"/>
  <c r="E6" i="1"/>
  <c r="E8" i="1"/>
  <c r="E9" i="1"/>
  <c r="E10" i="1"/>
  <c r="E11" i="1"/>
  <c r="E12" i="1"/>
  <c r="E14" i="1"/>
  <c r="E16" i="1"/>
  <c r="E17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Z95" i="1"/>
  <c r="Z25" i="1"/>
  <c r="G22" i="1"/>
  <c r="G23" i="1"/>
  <c r="G24" i="1"/>
  <c r="G25" i="1"/>
  <c r="G69" i="7" l="1"/>
  <c r="G68" i="7"/>
  <c r="G16" i="6" l="1"/>
  <c r="D3" i="8"/>
  <c r="G70" i="7"/>
  <c r="G67" i="7"/>
  <c r="G66" i="7"/>
  <c r="G64" i="7"/>
  <c r="G63" i="7"/>
  <c r="G2" i="7"/>
  <c r="E2" i="7"/>
  <c r="F213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6" i="6"/>
  <c r="G135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78" i="6"/>
  <c r="G77" i="6"/>
  <c r="G76" i="6"/>
  <c r="G75" i="6"/>
  <c r="G74" i="6"/>
  <c r="G73" i="6"/>
  <c r="G72" i="6"/>
  <c r="G71" i="6"/>
  <c r="G70" i="6"/>
  <c r="G69" i="6"/>
  <c r="G67" i="6"/>
  <c r="G66" i="6"/>
  <c r="G65" i="6"/>
  <c r="G63" i="6"/>
  <c r="G62" i="6"/>
  <c r="G61" i="6"/>
  <c r="G60" i="6"/>
  <c r="G58" i="6"/>
  <c r="G57" i="6"/>
  <c r="G56" i="6"/>
  <c r="G55" i="6"/>
  <c r="G54" i="6"/>
  <c r="G53" i="6"/>
  <c r="G52" i="6"/>
  <c r="G51" i="6"/>
  <c r="G50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3" i="6"/>
  <c r="G22" i="6"/>
  <c r="G21" i="6"/>
  <c r="G19" i="6"/>
  <c r="G18" i="6"/>
  <c r="G17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E3" i="6"/>
  <c r="G105" i="2"/>
  <c r="G104" i="2"/>
  <c r="G103" i="2"/>
  <c r="G102" i="2"/>
  <c r="G101" i="2"/>
  <c r="G100" i="2"/>
  <c r="G98" i="2"/>
  <c r="G99" i="2"/>
  <c r="G97" i="2"/>
  <c r="G96" i="2"/>
  <c r="G95" i="2"/>
  <c r="G94" i="2"/>
  <c r="G93" i="2"/>
  <c r="G91" i="2"/>
  <c r="G90" i="2"/>
  <c r="G89" i="2"/>
  <c r="G88" i="2"/>
  <c r="G87" i="2"/>
  <c r="G86" i="2"/>
  <c r="G85" i="2"/>
  <c r="G84" i="2"/>
  <c r="G83" i="2"/>
  <c r="G82" i="2"/>
  <c r="G81" i="2"/>
  <c r="G79" i="2"/>
  <c r="G80" i="2"/>
  <c r="G78" i="2"/>
  <c r="G77" i="2"/>
  <c r="G76" i="2"/>
  <c r="G75" i="2"/>
  <c r="G73" i="2"/>
  <c r="G72" i="2"/>
  <c r="G74" i="2"/>
  <c r="G70" i="2"/>
  <c r="G69" i="2"/>
  <c r="G68" i="2"/>
  <c r="G67" i="2"/>
  <c r="G66" i="2"/>
  <c r="G65" i="2"/>
  <c r="G64" i="2"/>
  <c r="G62" i="2"/>
  <c r="G63" i="2"/>
  <c r="G61" i="2"/>
  <c r="G54" i="2"/>
  <c r="G60" i="2"/>
  <c r="G59" i="2"/>
  <c r="G58" i="2"/>
  <c r="G57" i="2"/>
  <c r="G56" i="2"/>
  <c r="G55" i="2"/>
  <c r="G53" i="2"/>
  <c r="G52" i="2"/>
  <c r="G51" i="2"/>
  <c r="G50" i="2"/>
  <c r="G49" i="2"/>
  <c r="G48" i="2"/>
  <c r="G46" i="2"/>
  <c r="G45" i="2"/>
  <c r="G34" i="2"/>
  <c r="G44" i="2"/>
  <c r="G42" i="2"/>
  <c r="G43" i="2"/>
  <c r="G71" i="2"/>
  <c r="G41" i="2"/>
  <c r="G39" i="2"/>
  <c r="G40" i="2"/>
  <c r="G38" i="2"/>
  <c r="G37" i="2"/>
  <c r="G36" i="2"/>
  <c r="G35" i="2"/>
  <c r="G33" i="2"/>
  <c r="G31" i="2"/>
  <c r="G30" i="2"/>
  <c r="G22" i="2"/>
  <c r="G23" i="2"/>
  <c r="G28" i="2"/>
  <c r="G27" i="2"/>
  <c r="G26" i="2"/>
  <c r="G29" i="2"/>
  <c r="G25" i="2"/>
  <c r="G24" i="2"/>
  <c r="G21" i="2"/>
  <c r="G20" i="2"/>
  <c r="G10" i="2"/>
  <c r="G17" i="2"/>
  <c r="G19" i="2"/>
  <c r="G18" i="2"/>
  <c r="G16" i="2"/>
  <c r="G15" i="2"/>
  <c r="G14" i="2"/>
  <c r="G13" i="2"/>
  <c r="G12" i="2"/>
  <c r="G11" i="2"/>
  <c r="G9" i="2"/>
  <c r="G8" i="2"/>
  <c r="G7" i="2"/>
  <c r="G6" i="2"/>
  <c r="G3" i="2"/>
  <c r="E3" i="2"/>
  <c r="G4" i="2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B95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N76" i="1"/>
  <c r="AB74" i="1"/>
  <c r="N75" i="1"/>
  <c r="AB73" i="1"/>
  <c r="N74" i="1"/>
  <c r="AB72" i="1"/>
  <c r="N73" i="1"/>
  <c r="AB71" i="1"/>
  <c r="N72" i="1"/>
  <c r="AB70" i="1"/>
  <c r="N71" i="1"/>
  <c r="U69" i="1"/>
  <c r="N70" i="1"/>
  <c r="AB68" i="1"/>
  <c r="N69" i="1"/>
  <c r="G69" i="1"/>
  <c r="AB67" i="1"/>
  <c r="U67" i="1"/>
  <c r="N68" i="1"/>
  <c r="G68" i="1"/>
  <c r="U66" i="1"/>
  <c r="N67" i="1"/>
  <c r="U65" i="1"/>
  <c r="N66" i="1"/>
  <c r="G66" i="1"/>
  <c r="U64" i="1"/>
  <c r="N65" i="1"/>
  <c r="G65" i="1"/>
  <c r="U63" i="1"/>
  <c r="N64" i="1"/>
  <c r="AB62" i="1"/>
  <c r="U62" i="1"/>
  <c r="AB61" i="1"/>
  <c r="U61" i="1"/>
  <c r="N62" i="1"/>
  <c r="G62" i="1"/>
  <c r="AB60" i="1"/>
  <c r="U60" i="1"/>
  <c r="N61" i="1"/>
  <c r="G61" i="1"/>
  <c r="AB59" i="1"/>
  <c r="U59" i="1"/>
  <c r="N60" i="1"/>
  <c r="AB58" i="1"/>
  <c r="N59" i="1"/>
  <c r="AB57" i="1"/>
  <c r="U57" i="1"/>
  <c r="N58" i="1"/>
  <c r="AB56" i="1"/>
  <c r="U56" i="1"/>
  <c r="N57" i="1"/>
  <c r="U55" i="1"/>
  <c r="N55" i="1"/>
  <c r="G55" i="1"/>
  <c r="AB54" i="1"/>
  <c r="U54" i="1"/>
  <c r="N54" i="1"/>
  <c r="G54" i="1"/>
  <c r="G58" i="1" s="1"/>
  <c r="B91" i="1"/>
  <c r="AB53" i="1"/>
  <c r="U53" i="1"/>
  <c r="N53" i="1"/>
  <c r="AB52" i="1"/>
  <c r="U52" i="1"/>
  <c r="N52" i="1"/>
  <c r="AB51" i="1"/>
  <c r="U51" i="1"/>
  <c r="N51" i="1"/>
  <c r="AB50" i="1"/>
  <c r="N50" i="1"/>
  <c r="AB49" i="1"/>
  <c r="N49" i="1"/>
  <c r="G49" i="1"/>
  <c r="G51" i="1" s="1"/>
  <c r="N48" i="1"/>
  <c r="G48" i="1"/>
  <c r="AB47" i="1"/>
  <c r="N47" i="1"/>
  <c r="G47" i="1"/>
  <c r="AB46" i="1"/>
  <c r="O46" i="1"/>
  <c r="N46" i="1"/>
  <c r="AB45" i="1"/>
  <c r="N45" i="1"/>
  <c r="G45" i="1"/>
  <c r="AB44" i="1"/>
  <c r="O44" i="1"/>
  <c r="N44" i="1"/>
  <c r="G44" i="1"/>
  <c r="U43" i="1"/>
  <c r="N43" i="1"/>
  <c r="G43" i="1"/>
  <c r="AB42" i="1"/>
  <c r="U42" i="1"/>
  <c r="N42" i="1"/>
  <c r="AB41" i="1"/>
  <c r="U41" i="1"/>
  <c r="N41" i="1"/>
  <c r="AB40" i="1"/>
  <c r="U40" i="1"/>
  <c r="N40" i="1"/>
  <c r="AB39" i="1"/>
  <c r="U39" i="1"/>
  <c r="N39" i="1"/>
  <c r="AB38" i="1"/>
  <c r="U38" i="1"/>
  <c r="N38" i="1"/>
  <c r="G38" i="1"/>
  <c r="E38" i="1"/>
  <c r="AB37" i="1"/>
  <c r="U37" i="1"/>
  <c r="G37" i="1"/>
  <c r="E37" i="1"/>
  <c r="AB36" i="1"/>
  <c r="U36" i="1"/>
  <c r="N36" i="1"/>
  <c r="AB35" i="1"/>
  <c r="U35" i="1"/>
  <c r="AB34" i="1"/>
  <c r="U34" i="1"/>
  <c r="N34" i="1"/>
  <c r="AB33" i="1"/>
  <c r="U33" i="1"/>
  <c r="N33" i="1"/>
  <c r="AB32" i="1"/>
  <c r="U32" i="1"/>
  <c r="N32" i="1"/>
  <c r="G32" i="1"/>
  <c r="AB31" i="1"/>
  <c r="U31" i="1"/>
  <c r="N31" i="1"/>
  <c r="G31" i="1"/>
  <c r="AB30" i="1"/>
  <c r="U30" i="1"/>
  <c r="G30" i="1"/>
  <c r="AB29" i="1"/>
  <c r="U29" i="1"/>
  <c r="N29" i="1"/>
  <c r="G29" i="1"/>
  <c r="AB28" i="1"/>
  <c r="U28" i="1"/>
  <c r="N28" i="1"/>
  <c r="G28" i="1"/>
  <c r="AB27" i="1"/>
  <c r="U27" i="1"/>
  <c r="N27" i="1"/>
  <c r="G27" i="1"/>
  <c r="AB26" i="1"/>
  <c r="U26" i="1"/>
  <c r="N26" i="1"/>
  <c r="G26" i="1"/>
  <c r="AB25" i="1"/>
  <c r="U25" i="1"/>
  <c r="N25" i="1"/>
  <c r="AB24" i="1"/>
  <c r="U24" i="1"/>
  <c r="N24" i="1"/>
  <c r="AB23" i="1"/>
  <c r="U23" i="1"/>
  <c r="N23" i="1"/>
  <c r="AB22" i="1"/>
  <c r="U22" i="1"/>
  <c r="N22" i="1"/>
  <c r="AB21" i="1"/>
  <c r="U21" i="1"/>
  <c r="N21" i="1"/>
  <c r="G21" i="1"/>
  <c r="U20" i="1"/>
  <c r="N20" i="1"/>
  <c r="G20" i="1"/>
  <c r="AB19" i="1"/>
  <c r="U19" i="1"/>
  <c r="N19" i="1"/>
  <c r="G19" i="1"/>
  <c r="AB18" i="1"/>
  <c r="N18" i="1"/>
  <c r="G18" i="1"/>
  <c r="AB17" i="1"/>
  <c r="U17" i="1"/>
  <c r="N17" i="1"/>
  <c r="AB16" i="1"/>
  <c r="U16" i="1"/>
  <c r="N16" i="1"/>
  <c r="G16" i="1"/>
  <c r="AB15" i="1"/>
  <c r="U15" i="1"/>
  <c r="N15" i="1"/>
  <c r="G15" i="1"/>
  <c r="AB14" i="1"/>
  <c r="U14" i="1"/>
  <c r="N14" i="1"/>
  <c r="G14" i="1"/>
  <c r="AB13" i="1"/>
  <c r="N13" i="1"/>
  <c r="G13" i="1"/>
  <c r="AB12" i="1"/>
  <c r="N12" i="1"/>
  <c r="AB11" i="1"/>
  <c r="G11" i="1"/>
  <c r="AB10" i="1"/>
  <c r="N10" i="1"/>
  <c r="G10" i="1"/>
  <c r="AB9" i="1"/>
  <c r="U9" i="1"/>
  <c r="N9" i="1"/>
  <c r="G9" i="1"/>
  <c r="AB8" i="1"/>
  <c r="U8" i="1"/>
  <c r="N8" i="1"/>
  <c r="G8" i="1"/>
  <c r="U7" i="1"/>
  <c r="N7" i="1"/>
  <c r="G7" i="1"/>
  <c r="AB6" i="1"/>
  <c r="U6" i="1"/>
  <c r="N6" i="1"/>
  <c r="AB5" i="1"/>
  <c r="N5" i="1"/>
  <c r="G5" i="1"/>
  <c r="AB4" i="1"/>
  <c r="U4" i="1"/>
  <c r="N4" i="1"/>
  <c r="G4" i="1"/>
  <c r="AB3" i="1"/>
  <c r="U3" i="1"/>
  <c r="G3" i="1"/>
  <c r="U11" i="1" l="1"/>
  <c r="E65" i="4"/>
  <c r="U71" i="1"/>
  <c r="U45" i="1"/>
  <c r="AB144" i="1"/>
  <c r="AB64" i="1"/>
  <c r="G107" i="2"/>
  <c r="N78" i="1"/>
  <c r="G71" i="1"/>
  <c r="G34" i="1"/>
  <c r="G40" i="1" s="1"/>
  <c r="G72" i="7"/>
  <c r="B90" i="1"/>
  <c r="B79" i="1"/>
  <c r="B92" i="1"/>
  <c r="B81" i="1"/>
  <c r="B89" i="1"/>
  <c r="B77" i="1"/>
  <c r="E81" i="1" s="1"/>
  <c r="B76" i="1"/>
  <c r="E80" i="1" s="1"/>
  <c r="B85" i="1"/>
  <c r="B84" i="1"/>
  <c r="B87" i="1"/>
  <c r="B82" i="1"/>
  <c r="B80" i="1"/>
  <c r="B83" i="1"/>
  <c r="B78" i="1"/>
  <c r="B86" i="1"/>
  <c r="B88" i="1" l="1"/>
  <c r="E79" i="1" s="1"/>
  <c r="E82" i="1" s="1"/>
  <c r="E84" i="1"/>
  <c r="B93" i="1" l="1"/>
  <c r="E87" i="1"/>
</calcChain>
</file>

<file path=xl/sharedStrings.xml><?xml version="1.0" encoding="utf-8"?>
<sst xmlns="http://schemas.openxmlformats.org/spreadsheetml/2006/main" count="1792" uniqueCount="962">
  <si>
    <t>PROTEÍNAS CLIENTE</t>
  </si>
  <si>
    <t>ESTOQUE</t>
  </si>
  <si>
    <t>MEDIDA</t>
  </si>
  <si>
    <t>VALOR (R$)</t>
  </si>
  <si>
    <t>TOTAL (R$)</t>
  </si>
  <si>
    <t>PEDIDO</t>
  </si>
  <si>
    <t>VALOR DO PEDIDO</t>
  </si>
  <si>
    <t>MERCEARIA</t>
  </si>
  <si>
    <t>CONGELADOS</t>
  </si>
  <si>
    <t>DESCARTÁVEIS</t>
  </si>
  <si>
    <t>ACEM</t>
  </si>
  <si>
    <t>KG</t>
  </si>
  <si>
    <t>AMENDOIM SEM CASCA</t>
  </si>
  <si>
    <t>BOBINA PICOTADA (20X30)</t>
  </si>
  <si>
    <t>UND</t>
  </si>
  <si>
    <t>ABACAXI EM CONSERVA (400g)</t>
  </si>
  <si>
    <t>BATATA CONGELADA</t>
  </si>
  <si>
    <t>BOBINA PICOTADA (30X40)</t>
  </si>
  <si>
    <t xml:space="preserve">CARNE SECA </t>
  </si>
  <si>
    <t>ACETO BALSAMICO (500ml)</t>
  </si>
  <si>
    <t>ERVILHA CONGELADA</t>
  </si>
  <si>
    <t>BOBINA PICOTADA (40X60)</t>
  </si>
  <si>
    <t>BARRIGA MANTA</t>
  </si>
  <si>
    <t xml:space="preserve">BATATA PALHA </t>
  </si>
  <si>
    <t>MASSA PASTEL</t>
  </si>
  <si>
    <t>BOBINA 29G 8X250mts</t>
  </si>
  <si>
    <t>CX</t>
  </si>
  <si>
    <t xml:space="preserve">BARRIGA SUÍNA </t>
  </si>
  <si>
    <t>AÇUCAR REFINADO (1kg)</t>
  </si>
  <si>
    <t>BOBINA TÉRMICA</t>
  </si>
  <si>
    <t>CARNE SECA LAGARTO</t>
  </si>
  <si>
    <t>AÇUCAR SACHÊ (2kg)</t>
  </si>
  <si>
    <t>GELO ESCAMA</t>
  </si>
  <si>
    <t>CANUDO</t>
  </si>
  <si>
    <t>CARRÉ</t>
  </si>
  <si>
    <t>ADOÇANTE SACHÊ (2kg)</t>
  </si>
  <si>
    <t>GELO CUBO</t>
  </si>
  <si>
    <t>CARNE MOÍDA ACÉM</t>
  </si>
  <si>
    <t xml:space="preserve">AMIDO DE MILHO </t>
  </si>
  <si>
    <t>CARNE MOÍDA PEITO BOVINO</t>
  </si>
  <si>
    <t xml:space="preserve">ARROZ PARBOILIZADO </t>
  </si>
  <si>
    <t>TOTAL CONGELADOS:</t>
  </si>
  <si>
    <t>COPO DESCARTÁVEL (300ml) (pcts)</t>
  </si>
  <si>
    <t>CARNE DE SOL</t>
  </si>
  <si>
    <t xml:space="preserve">AZEITE DE DENDE </t>
  </si>
  <si>
    <t>COPO DESCARTÁVEL (400ml) (pcts)</t>
  </si>
  <si>
    <t>AZEITE EXTRA VIRGEM (5lts)</t>
  </si>
  <si>
    <t>LATICÍNIOS</t>
  </si>
  <si>
    <t>COPO DESCARTÁVEL (50ml) (pcts)</t>
  </si>
  <si>
    <t>AZEITE EXTRA VIRGEM SACHÊ (180und.)</t>
  </si>
  <si>
    <t>CHOCOLATE MEIO AMARGO (NESTLE) (1KG)</t>
  </si>
  <si>
    <t>COPO DESCARTÁVEL (25ml) (pcts)</t>
  </si>
  <si>
    <t>COSTELA SALGADA</t>
  </si>
  <si>
    <t>AZEITE EXTRA VIRGEM O-LIVE (500ml)</t>
  </si>
  <si>
    <t xml:space="preserve">CHOCOLATE AO LEITE </t>
  </si>
  <si>
    <t>LTS</t>
  </si>
  <si>
    <t>COXA E SOBRECOXA SEM OSSO</t>
  </si>
  <si>
    <t>AZEITONA SEM CAROÇO 2KG</t>
  </si>
  <si>
    <t>CHOCOLATE MARFIM</t>
  </si>
  <si>
    <t>ETIQUETA LISA</t>
  </si>
  <si>
    <t xml:space="preserve">AZEITONA VERDE </t>
  </si>
  <si>
    <t>CREAM CHEESE (1,2kg)</t>
  </si>
  <si>
    <t>ETIQUETA USAR PRIMEIRO</t>
  </si>
  <si>
    <t>COSTELA BOVINA</t>
  </si>
  <si>
    <t>CAFÉ FUNCIONÁRIO (500g)</t>
  </si>
  <si>
    <t>CHEDDAR FATIADO</t>
  </si>
  <si>
    <t>ETIQUETA RASTREABILIDADE (60X40) (C/1000)</t>
  </si>
  <si>
    <t>DRUMET</t>
  </si>
  <si>
    <t xml:space="preserve">CREME DE LEITE </t>
  </si>
  <si>
    <t>ETIQUETA SEGURANÇA ALIMENTAR</t>
  </si>
  <si>
    <t>FIGADO</t>
  </si>
  <si>
    <t>LEITE INTEGRAL (1lts)</t>
  </si>
  <si>
    <t>ETIQUETA DE VALIDADE</t>
  </si>
  <si>
    <t>FILÉ MIGNON</t>
  </si>
  <si>
    <t>LEITE DE COCO</t>
  </si>
  <si>
    <t>ESPETO PARA CHURRASCO (pcts)</t>
  </si>
  <si>
    <t>PCT</t>
  </si>
  <si>
    <t>ORELHA DE PORCO</t>
  </si>
  <si>
    <t>CALDO DE GALINHA (1,01kg)</t>
  </si>
  <si>
    <t>LEITE CONDENSADO  (395ml)</t>
  </si>
  <si>
    <t>EMBALAGEM 30ml</t>
  </si>
  <si>
    <t>GARGANTA SALGADA</t>
  </si>
  <si>
    <t>CAPSULA DE CHANTILY</t>
  </si>
  <si>
    <t>LEITE CONDENSADO (2,6kg)</t>
  </si>
  <si>
    <t>EMBALAGEM 250ML</t>
  </si>
  <si>
    <t>LAGARTO</t>
  </si>
  <si>
    <t>MANTEIGA DE GARRAFA 460KG</t>
  </si>
  <si>
    <t>EMBALAGEM 500ml (PRAFESTA)</t>
  </si>
  <si>
    <t>LOMBO SUÍNO SALGADO</t>
  </si>
  <si>
    <t>EMULSIFICANTE</t>
  </si>
  <si>
    <t>MANTEIGA COM SAL</t>
  </si>
  <si>
    <t>EMBALAGEM 750ML (PRA FESTA) C/24</t>
  </si>
  <si>
    <t>ERVILHA SECA</t>
  </si>
  <si>
    <t>MANTEIGA SEM SAL</t>
  </si>
  <si>
    <t>EMBALAGEM ALUMINIO 500ML (P1380)</t>
  </si>
  <si>
    <t xml:space="preserve">EXTRATO DE TOMATE </t>
  </si>
  <si>
    <t>MARGARINA QUALY (500g)</t>
  </si>
  <si>
    <t>EMBALAGEM ALUMINIO 750ML</t>
  </si>
  <si>
    <t xml:space="preserve">PÉ DE PORCO </t>
  </si>
  <si>
    <t>FARINHA DE MANDIOCA (1kg)</t>
  </si>
  <si>
    <t>MUSSARELA FATIADA</t>
  </si>
  <si>
    <t>FILME PVC (28X300)</t>
  </si>
  <si>
    <t>PEITO DE FRANGO</t>
  </si>
  <si>
    <t>FARINHA PANKO (1kg)</t>
  </si>
  <si>
    <t>MUSSARELA RALADA</t>
  </si>
  <si>
    <t>FILME PVC (40cm)</t>
  </si>
  <si>
    <t>FARINHA DE ROSCA (1kg)</t>
  </si>
  <si>
    <t>MUSSARELA COMUM</t>
  </si>
  <si>
    <t>FOSFORO</t>
  </si>
  <si>
    <t>TOUCINHO</t>
  </si>
  <si>
    <t>FARINHA DE ROSCA (5kg)</t>
  </si>
  <si>
    <t>PARMESÃO COZINHA</t>
  </si>
  <si>
    <t>GÁS PARA MAÇARICO</t>
  </si>
  <si>
    <t>RABADA</t>
  </si>
  <si>
    <t>FARINHA DE TRIGO (1kg)</t>
  </si>
  <si>
    <t>PRESUNTO COZIDO</t>
  </si>
  <si>
    <t>GUARDANAPO CREP 29X29</t>
  </si>
  <si>
    <t xml:space="preserve">FEIJÃO BRANCO </t>
  </si>
  <si>
    <t>QUEIJO COALHO (2kg)</t>
  </si>
  <si>
    <t>GUARDANAPO</t>
  </si>
  <si>
    <t>CXS</t>
  </si>
  <si>
    <t>FEIJÃO FRADINHO</t>
  </si>
  <si>
    <t xml:space="preserve">QUEIJO DE CABRA </t>
  </si>
  <si>
    <t>GUARDANAPO DADU</t>
  </si>
  <si>
    <t>FEIJÃO VERMELHO</t>
  </si>
  <si>
    <t>QUEIJO CHEDDAR</t>
  </si>
  <si>
    <t>GUARDANAPO SACHÊ (20x17)</t>
  </si>
  <si>
    <t>PROTEÍNAS FUNCIONÁRIO</t>
  </si>
  <si>
    <t>VALOR PEDIDO</t>
  </si>
  <si>
    <t>FEIJÃO PRETO (1kg)</t>
  </si>
  <si>
    <t>QUEIJO TROPICAL ORIENTE</t>
  </si>
  <si>
    <t>COXA E SOBRECOXA</t>
  </si>
  <si>
    <t>FÚBA</t>
  </si>
  <si>
    <t>QUEIJO PRATO GRAN NATO</t>
  </si>
  <si>
    <t>MÁSCARA DESCARTÁVEL (PCT)</t>
  </si>
  <si>
    <t>SALSICHA</t>
  </si>
  <si>
    <t>FERMENTO (250g)</t>
  </si>
  <si>
    <t>QUEIJO PRATO FATIADO (150g)</t>
  </si>
  <si>
    <t>GOIABADA 2,5 KG</t>
  </si>
  <si>
    <t>QUEIJO PROVOLONE</t>
  </si>
  <si>
    <t>PALITO DE CHURRASCO</t>
  </si>
  <si>
    <t xml:space="preserve">TOTAL PROTEÍNAS FUNCIONÁRIO: </t>
  </si>
  <si>
    <t>KETCHUP</t>
  </si>
  <si>
    <t>QUEIJO PARMESÃO</t>
  </si>
  <si>
    <t>PALITO DE DENTE (CX)</t>
  </si>
  <si>
    <t>KETCHUP SACHÊ (2kg)</t>
  </si>
  <si>
    <t>REQUEIJÃO</t>
  </si>
  <si>
    <t>PAPEL ALUMINIO</t>
  </si>
  <si>
    <t>PEIXES E FRUTOS DO MAR</t>
  </si>
  <si>
    <t>HONDASHI (500g)</t>
  </si>
  <si>
    <t>REQUEIJÃO CATUPIRY (1,5kg)</t>
  </si>
  <si>
    <t>PAPEL MANTEIGA ZECA (35x35) (C/400)</t>
  </si>
  <si>
    <t>BACALHAU</t>
  </si>
  <si>
    <t>MINAS PADRÃO</t>
  </si>
  <si>
    <t>PAPEL ZECA 30x30 C 500</t>
  </si>
  <si>
    <t>CAMARÃO CINZA SUJO</t>
  </si>
  <si>
    <t>MAIONESE (2,8kg)</t>
  </si>
  <si>
    <t xml:space="preserve">POLIFLOR </t>
  </si>
  <si>
    <t>CAMARÃO VANNAMEI (1561)</t>
  </si>
  <si>
    <t>MAIONESE SACHÊ (2kg)</t>
  </si>
  <si>
    <t>TOTAL TEMPEROS:</t>
  </si>
  <si>
    <t>RIBBON (SELADORA)</t>
  </si>
  <si>
    <t>CAMARÃO (5160)</t>
  </si>
  <si>
    <t>MASSA SPAGHETTI N°5</t>
  </si>
  <si>
    <t>CAMARÃO CINZA DESCASCADO  (761)</t>
  </si>
  <si>
    <t>MASSA FUNCIONÁRIO (1kg)</t>
  </si>
  <si>
    <t>TEMPEROS E AFINS</t>
  </si>
  <si>
    <t>SACO DE GELO (FARDO C/100)</t>
  </si>
  <si>
    <t>FILÉ DE PANGA</t>
  </si>
  <si>
    <t>MEL (500g)</t>
  </si>
  <si>
    <t>AÇAFRÃO</t>
  </si>
  <si>
    <t>SACO PARA TALHER (C/500)</t>
  </si>
  <si>
    <t>FILÉ DE TILÁPIA</t>
  </si>
  <si>
    <t>MOLHO BARBECUE (1kg)</t>
  </si>
  <si>
    <t>ALECRIM</t>
  </si>
  <si>
    <t>SACO PARA TALHER (C/1000)</t>
  </si>
  <si>
    <t>MOLHO INGLÊS (1lts)</t>
  </si>
  <si>
    <t>ANIS ESTRELADO</t>
  </si>
  <si>
    <t>SACOLA PLÁSTICA RECICLADA 40X50 (FARDO C/100)</t>
  </si>
  <si>
    <t>FD</t>
  </si>
  <si>
    <t xml:space="preserve">TOTAL PEIXES E FRUTOS DO MAR: </t>
  </si>
  <si>
    <t>ALHO TORRADO</t>
  </si>
  <si>
    <t>SACO Á VACUO (15x15)</t>
  </si>
  <si>
    <t>CANELA EM PAU</t>
  </si>
  <si>
    <t>SACO Á VÁCUO (18X25)</t>
  </si>
  <si>
    <t>SORVETE</t>
  </si>
  <si>
    <t>MOSTARDA (3,6kg)</t>
  </si>
  <si>
    <t>SACO Á VÁCUO (20X20)</t>
  </si>
  <si>
    <t>SORVETE DE CHOCOLATE</t>
  </si>
  <si>
    <t>MILHO VERDE LATA (280G)</t>
  </si>
  <si>
    <t>CEREJA MARRASQUINO</t>
  </si>
  <si>
    <t>SACO Á VÁCUO (20x30)</t>
  </si>
  <si>
    <t>SORVETE DE VANILLA</t>
  </si>
  <si>
    <t>SACO Á VÁCUO (30X35)</t>
  </si>
  <si>
    <t>COCO RALADO FLOCOS</t>
  </si>
  <si>
    <t>SACO Á VACÚO (25X35)</t>
  </si>
  <si>
    <t>TOTAL SORVETES:</t>
  </si>
  <si>
    <t>MASSA PARAFUSO</t>
  </si>
  <si>
    <t>SACO Á VÁCUO (30x40)</t>
  </si>
  <si>
    <t>ÓLEO DE ALGODÃO (15lts)</t>
  </si>
  <si>
    <t>SACO A VACUO (30X50)</t>
  </si>
  <si>
    <t>EMBUTIDOS</t>
  </si>
  <si>
    <t>ÓLEO DE SOJA (6lts)</t>
  </si>
  <si>
    <t>CREME DE CEBOLA</t>
  </si>
  <si>
    <t>SACO A VACUO (40X60)</t>
  </si>
  <si>
    <t>BACON</t>
  </si>
  <si>
    <t>ÓLEO DE SOJA (0,9ml)</t>
  </si>
  <si>
    <t>GELATINA SEM SABOR</t>
  </si>
  <si>
    <t>TAMPA EMBALAGEM DE 500ml</t>
  </si>
  <si>
    <t>LINGUIÇA CALABRESA</t>
  </si>
  <si>
    <t>PIMENTA SACHÊ (120und.)</t>
  </si>
  <si>
    <t xml:space="preserve">HIBISCUS </t>
  </si>
  <si>
    <t>TOUCA DESCARTÁVEL</t>
  </si>
  <si>
    <t>LINGUIÇA FINA</t>
  </si>
  <si>
    <t>RAPADURA</t>
  </si>
  <si>
    <t xml:space="preserve">LEMON PEPPER </t>
  </si>
  <si>
    <t>LINGUIÇA FINA CORTADA</t>
  </si>
  <si>
    <t>SAL GROSSO (1kg)</t>
  </si>
  <si>
    <t xml:space="preserve">OREGANO </t>
  </si>
  <si>
    <t>,</t>
  </si>
  <si>
    <t>LINGUIÇA PAIO</t>
  </si>
  <si>
    <t>SAL REFINADO (1kg)</t>
  </si>
  <si>
    <t>PIMENTA CALABRESA</t>
  </si>
  <si>
    <t>TOTAL DESCARTÁVEIS</t>
  </si>
  <si>
    <t>LINGUIÇA TOSCANA</t>
  </si>
  <si>
    <t>SAL SACHÊ (2kg)</t>
  </si>
  <si>
    <t>LINGUIÇA DE PERNIL (ENCHENDO)</t>
  </si>
  <si>
    <t>TAPIOCA GRANULADA</t>
  </si>
  <si>
    <t>PIMENTA DO REINO BRANCA EM PÓ</t>
  </si>
  <si>
    <t>MATERIAL DE LIMPEZA</t>
  </si>
  <si>
    <t>LINGUIÇA POMEONE</t>
  </si>
  <si>
    <t>TABASCO (60ml)</t>
  </si>
  <si>
    <t>PIMENTA DO REINO PRETA</t>
  </si>
  <si>
    <t>ÁLCOOL EM GEL 70% COM PUMP</t>
  </si>
  <si>
    <t>LINGUIÇA DEFUMADA SUÍNA</t>
  </si>
  <si>
    <t>TOMATE PELATE (2,055kg)</t>
  </si>
  <si>
    <t>PIMENTA ROSA</t>
  </si>
  <si>
    <t>VINAGRE BRANCO</t>
  </si>
  <si>
    <t>ZIMBRO</t>
  </si>
  <si>
    <t>ÁLCOOL EM GEL (5lts)</t>
  </si>
  <si>
    <t>EMBUTIDOS TOTAL</t>
  </si>
  <si>
    <t>VINAGRE COLORIDO (750ml)</t>
  </si>
  <si>
    <t xml:space="preserve">ÁLCOOL EM GEL </t>
  </si>
  <si>
    <t>VINAGRE DE MAÇÃ (750ml)</t>
  </si>
  <si>
    <t>ÁLCOOL GEL REFIL (ECOLAB)</t>
  </si>
  <si>
    <t>VINHO BRANCO (750ml)</t>
  </si>
  <si>
    <t>ALLKALY CL (30lts)</t>
  </si>
  <si>
    <t>VINHO TINTO (750ml)</t>
  </si>
  <si>
    <t>ALLKALY NT (30 LT)</t>
  </si>
  <si>
    <t>MERCADORIAS EM ESTOQUE</t>
  </si>
  <si>
    <t>VINHO BRANCO (4,6lts)</t>
  </si>
  <si>
    <t>ALLKALY PN 5lts</t>
  </si>
  <si>
    <t>BEBIDAS ÁLCOOLICAS:</t>
  </si>
  <si>
    <t>VINHO TINTO (4,6lts)</t>
  </si>
  <si>
    <t>ÁGUA SANITÁRIA (5lts)</t>
  </si>
  <si>
    <t>BEBIDAS NÃO ÁLCOOLICAS:</t>
  </si>
  <si>
    <t>AMACIANTE DE ROUPA</t>
  </si>
  <si>
    <t>CONGELADOS:</t>
  </si>
  <si>
    <t>BOM AR</t>
  </si>
  <si>
    <t>COMIDA FUNCIONÁRIO:</t>
  </si>
  <si>
    <t>BORRIFADOR</t>
  </si>
  <si>
    <t>DESCARTÁVEIS:</t>
  </si>
  <si>
    <t>CABO DO RODO DE ALUMINIO</t>
  </si>
  <si>
    <t>EMBUTIDOS:</t>
  </si>
  <si>
    <t>CERA LIQUÍDA (5lts)</t>
  </si>
  <si>
    <t>HORTIFRUTI:</t>
  </si>
  <si>
    <t>CYCLON AMONIACAL (5lts)</t>
  </si>
  <si>
    <t>LATICINIOS:</t>
  </si>
  <si>
    <t xml:space="preserve">CLORO PARA FOLHAS </t>
  </si>
  <si>
    <t>MATERIAL DE LIMPEZA:</t>
  </si>
  <si>
    <t>DESINFETANTE (5lts)</t>
  </si>
  <si>
    <t>MASSAS:</t>
  </si>
  <si>
    <t>DETERGENTE CLORADO (5lts)</t>
  </si>
  <si>
    <t>MERCEARIA:</t>
  </si>
  <si>
    <t>DETERGENTE DESENG. ALCALINO (5lts)</t>
  </si>
  <si>
    <t>MOLHOS:</t>
  </si>
  <si>
    <t>DETERGENTE P/ LOUÇA TOPMAT (5lts)</t>
  </si>
  <si>
    <t>PORCIONADOS:</t>
  </si>
  <si>
    <t>DETERGENTE (5lts)</t>
  </si>
  <si>
    <t>PROTEINA CLIENTE:</t>
  </si>
  <si>
    <t>DETERGENTE LIQUIDO CONCENTRAFDO (5lts)</t>
  </si>
  <si>
    <t>DETERGENTE TRUMP S (5lts)</t>
  </si>
  <si>
    <t>SORVETES:</t>
  </si>
  <si>
    <t>DETERGENTE PARA MÁQUINA (5lts)</t>
  </si>
  <si>
    <t>TEMPEROS E AFINS:</t>
  </si>
  <si>
    <t>DIABO VERDE</t>
  </si>
  <si>
    <t>VALOR FINAL:</t>
  </si>
  <si>
    <t>ESCOVINHA PARA AZULEJO</t>
  </si>
  <si>
    <t xml:space="preserve">ESPANADOR DE PENA </t>
  </si>
  <si>
    <t>PERDA DE PRATO</t>
  </si>
  <si>
    <t>ESPONJA DUPLAFACE</t>
  </si>
  <si>
    <t>ESPONJA FIBRAÇO</t>
  </si>
  <si>
    <t>GREASESECUTTER PLUS (5lts)</t>
  </si>
  <si>
    <t>KALYCLEN C212 DESENCRUSTANTE ALCALINO</t>
  </si>
  <si>
    <t xml:space="preserve">KALYCLEN C223 DETERGENTE PARA LOUÇA </t>
  </si>
  <si>
    <t>KALYCLEN S313</t>
  </si>
  <si>
    <t>KALYCLEN N 779 SECANTE PARA MAQUINA</t>
  </si>
  <si>
    <t>KALYCLEN ALLKALY CL</t>
  </si>
  <si>
    <t>LIME WAY</t>
  </si>
  <si>
    <t>LIMPA VIDRO</t>
  </si>
  <si>
    <t>LIMPADOR COALA PERFUMADO</t>
  </si>
  <si>
    <t xml:space="preserve">LUSTRA MOVEIS </t>
  </si>
  <si>
    <t>LUVA DE BORRACHA</t>
  </si>
  <si>
    <t>MULTI INSETICIDA SBP</t>
  </si>
  <si>
    <t>PÁ DE LIXO</t>
  </si>
  <si>
    <t>PALITO DE DENTE</t>
  </si>
  <si>
    <t>PANO DE CHÃO</t>
  </si>
  <si>
    <t>PASTILHA AZUL</t>
  </si>
  <si>
    <t>BD</t>
  </si>
  <si>
    <t>PASTILHA VERMELHA</t>
  </si>
  <si>
    <t>PAPEL ASSENTO</t>
  </si>
  <si>
    <t>PAPEL TOALHA INTERFOLHADO (C/8)</t>
  </si>
  <si>
    <t xml:space="preserve">PAPEL TOALHA DUPLA FACE </t>
  </si>
  <si>
    <t>PEDRA SANITÁRIA</t>
  </si>
  <si>
    <t>PERFEX AZUL</t>
  </si>
  <si>
    <t>PERFEX BRANCO</t>
  </si>
  <si>
    <t>POLIFLOR</t>
  </si>
  <si>
    <t>PROTETOR DE VASO SANITÁRIO</t>
  </si>
  <si>
    <t>REFIL PARA ESFREGÃO</t>
  </si>
  <si>
    <t>REFIL SABONETE ANTISÉPTICO</t>
  </si>
  <si>
    <t>REFITEX PEROXY CLEAN (5lts)</t>
  </si>
  <si>
    <t>RODO</t>
  </si>
  <si>
    <t>SABÃO EM PÓ (5kg)</t>
  </si>
  <si>
    <t>SABONETE LIQUIDO ( 0,800 ML)</t>
  </si>
  <si>
    <t>SABONETE LIQUIDO NEUTRO ( 0,400 ML)</t>
  </si>
  <si>
    <t>SACO DE 300 L (FARDO C/100)</t>
  </si>
  <si>
    <t>SACO DE 200 L (FARDO C/100)</t>
  </si>
  <si>
    <t>SACO DE LIXO 250LTS (FARDO C/100)</t>
  </si>
  <si>
    <t>SACO DE LIXO 110LTS (FARDO C/100)</t>
  </si>
  <si>
    <t>SACO DE LIXO 100LTS (FARDO C/100)</t>
  </si>
  <si>
    <t>SACO DE 60L (FARDO C/100)</t>
  </si>
  <si>
    <t>SACO DE LIXO 40lts (FARDO C/100)</t>
  </si>
  <si>
    <t>SECANTE JET DRY (5lts)</t>
  </si>
  <si>
    <t>SOLID POWER (4kg)</t>
  </si>
  <si>
    <t xml:space="preserve">TAPETE PARA MICTÓRIO </t>
  </si>
  <si>
    <t>TOP MATE 5L</t>
  </si>
  <si>
    <t>VASSOURA</t>
  </si>
  <si>
    <t>TOTAL MATERIAL DE LIMPEZA</t>
  </si>
  <si>
    <t>HORTIFRUTI  BAR DO ZECA</t>
  </si>
  <si>
    <t>PRODUTOS</t>
  </si>
  <si>
    <t>ABACAXI</t>
  </si>
  <si>
    <t xml:space="preserve">KG </t>
  </si>
  <si>
    <t>ABACATE AVOCADO</t>
  </si>
  <si>
    <t>ABÓBORA JAPONÊSA</t>
  </si>
  <si>
    <t xml:space="preserve">ABÓBORA </t>
  </si>
  <si>
    <t>ABOBRINHA</t>
  </si>
  <si>
    <t>ACELGA</t>
  </si>
  <si>
    <t>UN</t>
  </si>
  <si>
    <t>AGRIÃO</t>
  </si>
  <si>
    <t>AIPO</t>
  </si>
  <si>
    <t xml:space="preserve">UN </t>
  </si>
  <si>
    <t>ALFACE AMERICANA</t>
  </si>
  <si>
    <t>ALFACE CRESPA ROXA</t>
  </si>
  <si>
    <t>ALFACE CRESPA VERDE</t>
  </si>
  <si>
    <t>ALFACE ROMANA</t>
  </si>
  <si>
    <t>ALHO PORÓ</t>
  </si>
  <si>
    <t>ALHO ROXO COM CASCA</t>
  </si>
  <si>
    <t>ALHO DESCASCADO</t>
  </si>
  <si>
    <t>AIPIM</t>
  </si>
  <si>
    <t>ANETO</t>
  </si>
  <si>
    <t xml:space="preserve">ASPARGOS </t>
  </si>
  <si>
    <t>BASILICÃO</t>
  </si>
  <si>
    <t>BATATA ASTERIX</t>
  </si>
  <si>
    <t>BATATA INGLESA</t>
  </si>
  <si>
    <t>BATATA BAROA</t>
  </si>
  <si>
    <t>BATATA CALABRESA</t>
  </si>
  <si>
    <t>BATATA DOCE COMUM</t>
  </si>
  <si>
    <t xml:space="preserve"> KG </t>
  </si>
  <si>
    <t>BANANA PRATA</t>
  </si>
  <si>
    <t>BERINJELA</t>
  </si>
  <si>
    <t>BETERRABA</t>
  </si>
  <si>
    <t>BROCOLIS</t>
  </si>
  <si>
    <t>BRÓCOLIS AMERICANO</t>
  </si>
  <si>
    <t xml:space="preserve"> UN </t>
  </si>
  <si>
    <t>CARAMBOLA</t>
  </si>
  <si>
    <t>BDJ</t>
  </si>
  <si>
    <t xml:space="preserve">CEBOLA </t>
  </si>
  <si>
    <t>CEBOLA CALABRESA</t>
  </si>
  <si>
    <t>CEBOLA ROXA</t>
  </si>
  <si>
    <t>CEBOLINHA</t>
  </si>
  <si>
    <t>CEBOLETE</t>
  </si>
  <si>
    <t>CENOURA</t>
  </si>
  <si>
    <t>COCO SECO</t>
  </si>
  <si>
    <t>CHUCHU</t>
  </si>
  <si>
    <t>ENDRO</t>
  </si>
  <si>
    <t>COENTRO</t>
  </si>
  <si>
    <t>CAPIM LIMAO</t>
  </si>
  <si>
    <t xml:space="preserve">COUVE FLOR </t>
  </si>
  <si>
    <t>COUVE MANTEIGA</t>
  </si>
  <si>
    <t>ERVILHA TORTA</t>
  </si>
  <si>
    <t>ESTRAGÃO</t>
  </si>
  <si>
    <t>GENGIBRE</t>
  </si>
  <si>
    <t>GRAPEFRUIT</t>
  </si>
  <si>
    <t>HORTELÃ</t>
  </si>
  <si>
    <t>INHAME</t>
  </si>
  <si>
    <t>LARANJA BAHIA</t>
  </si>
  <si>
    <t xml:space="preserve">LARANJA PERA </t>
  </si>
  <si>
    <t>LARANJA SELETA</t>
  </si>
  <si>
    <t>LIMA DA PÉRSIA</t>
  </si>
  <si>
    <t>LIMÃO SICILIANO</t>
  </si>
  <si>
    <t>LIMÃO TAHITI</t>
  </si>
  <si>
    <t>KIWI</t>
  </si>
  <si>
    <t>LOURO</t>
  </si>
  <si>
    <t>MAÇÃ VERDE</t>
  </si>
  <si>
    <t>MAÇÃ GALA</t>
  </si>
  <si>
    <t>MANGA</t>
  </si>
  <si>
    <t>MANJERICÃO</t>
  </si>
  <si>
    <t>MANJERICÃO ROXO</t>
  </si>
  <si>
    <t>MARACUJÁ</t>
  </si>
  <si>
    <t>MELANCIA</t>
  </si>
  <si>
    <t>MELÃO</t>
  </si>
  <si>
    <t>MORANGO</t>
  </si>
  <si>
    <t xml:space="preserve">OVOS DE CODORNA </t>
  </si>
  <si>
    <t>OVO BRANCO</t>
  </si>
  <si>
    <t>OVO CAIPIRA</t>
  </si>
  <si>
    <t>PALMITO PUPUNHA</t>
  </si>
  <si>
    <t>PEPINO</t>
  </si>
  <si>
    <t>PÊRA</t>
  </si>
  <si>
    <t>PÊSSEGO</t>
  </si>
  <si>
    <t>PIMENTA DEDO DE MOÇA</t>
  </si>
  <si>
    <t>PIMENTA BIQUINHO</t>
  </si>
  <si>
    <t>PIMENTA MALAGUETA</t>
  </si>
  <si>
    <t>PIMENTÃO AMARELO</t>
  </si>
  <si>
    <t>PIMENTÃO VERDE</t>
  </si>
  <si>
    <t>PIMENTÃO VERMELHO</t>
  </si>
  <si>
    <t>QUIABO</t>
  </si>
  <si>
    <t>RABANETE</t>
  </si>
  <si>
    <t>RADICHIO</t>
  </si>
  <si>
    <t xml:space="preserve">REPOLHO </t>
  </si>
  <si>
    <t>RÚCULA HIDROPÔNICA</t>
  </si>
  <si>
    <t>SALSÃO</t>
  </si>
  <si>
    <t>SALSA</t>
  </si>
  <si>
    <t>SALSA CRESPA VERDE</t>
  </si>
  <si>
    <t>SALVIA</t>
  </si>
  <si>
    <t>SHIMEJI</t>
  </si>
  <si>
    <t>SHITAKE</t>
  </si>
  <si>
    <t>TANGERINA IMPORTADA</t>
  </si>
  <si>
    <t xml:space="preserve">TOMATE CEREJA </t>
  </si>
  <si>
    <t>TOMATE GRAPE VERMELHO</t>
  </si>
  <si>
    <t>TOMATE GRAPE AMARELO</t>
  </si>
  <si>
    <t>TOMATE ITALIANO MADURO</t>
  </si>
  <si>
    <t>TOMATE SALADA MADURO</t>
  </si>
  <si>
    <t>TOMILHO</t>
  </si>
  <si>
    <t>UVA CRISON ROXA</t>
  </si>
  <si>
    <t>UVA VERDE THOMPSON</t>
  </si>
  <si>
    <t>VAGEM FRANCESA</t>
  </si>
  <si>
    <t>VALOR TOTAL HORTIFRUTI</t>
  </si>
  <si>
    <t xml:space="preserve">CONTROLE DE ESTOQUE MASSAS </t>
  </si>
  <si>
    <t>MASSAS</t>
  </si>
  <si>
    <t>PORÇAO</t>
  </si>
  <si>
    <t>BATATA FRITA (300g)</t>
  </si>
  <si>
    <t>BOLINHO DE ARROZ</t>
  </si>
  <si>
    <t>BOLINHO DE BACALHAU</t>
  </si>
  <si>
    <t>BOLOVO</t>
  </si>
  <si>
    <t>BOLO DE CENOURA</t>
  </si>
  <si>
    <t>BAGUETE (25g)</t>
  </si>
  <si>
    <t>BAGUETE (50g) (ITALIANO)</t>
  </si>
  <si>
    <t>BAGUETE (80g)</t>
  </si>
  <si>
    <t>BRIOCHE</t>
  </si>
  <si>
    <t xml:space="preserve">COXINHA DE FRANGO </t>
  </si>
  <si>
    <t>COXINHA DE RABADA</t>
  </si>
  <si>
    <t>CROQUETE DE PERNIL</t>
  </si>
  <si>
    <t>CROQUETE DE CARNE</t>
  </si>
  <si>
    <t>CROQUETE DE FRANGO</t>
  </si>
  <si>
    <t>EMPADA DE CAMARÃO</t>
  </si>
  <si>
    <t>EMPADA DE QUEIJO</t>
  </si>
  <si>
    <t>EMPADA DE COSTELA</t>
  </si>
  <si>
    <t>EMPADA DE RABADA</t>
  </si>
  <si>
    <t>EMPADA DE FRANGO</t>
  </si>
  <si>
    <t>MASSA DE GNOCCHI</t>
  </si>
  <si>
    <t>MASSA DE PASTEL</t>
  </si>
  <si>
    <t>PÃO DE HOT DOG</t>
  </si>
  <si>
    <t>MINI PÃO FRANCÊS</t>
  </si>
  <si>
    <t>MINI PASTEL DE CARNE</t>
  </si>
  <si>
    <t>PÃO HOT DOG BRIOCHE</t>
  </si>
  <si>
    <t>PANQUECA</t>
  </si>
  <si>
    <t>PASTEL DE QUEIJO</t>
  </si>
  <si>
    <t>PASTEL DE LINGUIÇA</t>
  </si>
  <si>
    <t>PUDIM</t>
  </si>
  <si>
    <t>MOUSSE DE CHOCOLATE</t>
  </si>
  <si>
    <t>TOTAL</t>
  </si>
  <si>
    <t xml:space="preserve"> PORCIONADOS BAR DO ZECA</t>
  </si>
  <si>
    <t>CARNES</t>
  </si>
  <si>
    <t>PORÇÕES</t>
  </si>
  <si>
    <t>ESTOQUE/KG</t>
  </si>
  <si>
    <t>ACÉM DESFIADA 50 GR</t>
  </si>
  <si>
    <t>ACÉM DESFIADA 150 GR</t>
  </si>
  <si>
    <t>APERITIVO DE CARNE (ALCATRA)</t>
  </si>
  <si>
    <t>CARNE MOÍDA</t>
  </si>
  <si>
    <t>QUEIJO COALHO</t>
  </si>
  <si>
    <t>CARNE SECA DE LAGARTO (700G)</t>
  </si>
  <si>
    <t>CARNE SECA(200g)</t>
  </si>
  <si>
    <t>CARNE ASSADA INTEIRA (TÁBUA DO BAR)</t>
  </si>
  <si>
    <t>CARNE DE HAMBURGUER 100g</t>
  </si>
  <si>
    <t>CARNE ASSADA SANDUICHE (120g)</t>
  </si>
  <si>
    <t>CAVALO DO REI (250G)</t>
  </si>
  <si>
    <t>COSTELA DESFIADA</t>
  </si>
  <si>
    <t>COSTELA NA CERVEJA(0,7G)</t>
  </si>
  <si>
    <t>COPA LOMBO (250G)</t>
  </si>
  <si>
    <t>COPA LOMBO (120G)</t>
  </si>
  <si>
    <t>DADINHO</t>
  </si>
  <si>
    <t>CONTRA FILÉ</t>
  </si>
  <si>
    <t>ESPETO DE FRANGO(120)</t>
  </si>
  <si>
    <t>ESPETINHO DE CARNE(120G)</t>
  </si>
  <si>
    <t>FEIJÃO BAIÃO</t>
  </si>
  <si>
    <t>PAILLARD DE FRANGO 150 GR</t>
  </si>
  <si>
    <t>FILE DE FRANGO 100 GR</t>
  </si>
  <si>
    <t>ISCA DE FRANGO</t>
  </si>
  <si>
    <t>ORELHA DE ELEFANTE 300g</t>
  </si>
  <si>
    <t>PARMEGIANA DE CARNE (ALCATRA)</t>
  </si>
  <si>
    <t>PARMEGIANA DE FRANGO</t>
  </si>
  <si>
    <t>PURE DE ABOBORA</t>
  </si>
  <si>
    <t>PURE DE BATATA</t>
  </si>
  <si>
    <t>PANELINHA DESFIADA</t>
  </si>
  <si>
    <t>PURE DE INHAME</t>
  </si>
  <si>
    <t xml:space="preserve">PERNIL TABOA </t>
  </si>
  <si>
    <t>PERNIL PORCIONADO</t>
  </si>
  <si>
    <t>SANDUICHE DE ALCATRA</t>
  </si>
  <si>
    <t>SANDUÍCHE DE LINGUIÇA(120G)</t>
  </si>
  <si>
    <t>PERNIL 120 GR</t>
  </si>
  <si>
    <t>PICADINHO DE FRANGO</t>
  </si>
  <si>
    <t>PICADINHO DE CARNE 120g</t>
  </si>
  <si>
    <t>RABADA DESFIADA</t>
  </si>
  <si>
    <t>RABADA PRONTA</t>
  </si>
  <si>
    <t>APARAS</t>
  </si>
  <si>
    <t>APARA DE CARNE</t>
  </si>
  <si>
    <t>APARA DE CONTRA FILÉ</t>
  </si>
  <si>
    <t>APARA DE CARNE ASSADA</t>
  </si>
  <si>
    <t>APARA DE COSTELA</t>
  </si>
  <si>
    <t>APARA DE PERNIL</t>
  </si>
  <si>
    <t>APARA DE FRANGO</t>
  </si>
  <si>
    <t>APARA DE LINGUIÇA</t>
  </si>
  <si>
    <t>BACALHAU DESFIADO</t>
  </si>
  <si>
    <t>CAMARÃO 120 GR</t>
  </si>
  <si>
    <t>TILÁPIA DESFIADA</t>
  </si>
  <si>
    <t>TAMBORIL</t>
  </si>
  <si>
    <t>ISCA DE TILÁPIA (200g)</t>
  </si>
  <si>
    <t>SUÍNOS</t>
  </si>
  <si>
    <t>BARRIGA SUÍNA</t>
  </si>
  <si>
    <t>COSTELA SUÍNA SALGADA</t>
  </si>
  <si>
    <t>COSTELA BOVINA (TÁBUA DO BAR)</t>
  </si>
  <si>
    <t>LINGUIÇA SUÍNA SCHUELLER</t>
  </si>
  <si>
    <t>LINGUIÇA APERITIVO(200G)</t>
  </si>
  <si>
    <t xml:space="preserve">BATATA CALABRESA </t>
  </si>
  <si>
    <t>MOCOTÓ</t>
  </si>
  <si>
    <t>PERNIL ACEBOLADO(250G)</t>
  </si>
  <si>
    <t>PERNIL FATIADO</t>
  </si>
  <si>
    <t>PERNIL PARA BOLOVO</t>
  </si>
  <si>
    <t>TOTAL:</t>
  </si>
  <si>
    <t>FEIJOADA</t>
  </si>
  <si>
    <t>ARROZ PRONTO</t>
  </si>
  <si>
    <t>LOMBO SALGADO</t>
  </si>
  <si>
    <t>COSTELINHA SALGADA</t>
  </si>
  <si>
    <t>COUVE PICADA</t>
  </si>
  <si>
    <t>AIPIM 300GR</t>
  </si>
  <si>
    <t>PROCESSADOS</t>
  </si>
  <si>
    <t>BRIGADEIRO</t>
  </si>
  <si>
    <t>RECHE DE CAMARÃO</t>
  </si>
  <si>
    <t>CALDA DE CHOCOLATE (DO BOLO DE CENOURA)</t>
  </si>
  <si>
    <t>TOTAL PORCIONADOS:</t>
  </si>
  <si>
    <t xml:space="preserve"> </t>
  </si>
  <si>
    <t>CONTROLE DE ESTOQUE MOLHOS BAR DO ZECA</t>
  </si>
  <si>
    <t>MOLHOS</t>
  </si>
  <si>
    <t>CALDO DE CAMARÃO</t>
  </si>
  <si>
    <t>CALDO DE CARNE</t>
  </si>
  <si>
    <t>CALDO DE COSTELA</t>
  </si>
  <si>
    <t>CALDO DE GALINHA</t>
  </si>
  <si>
    <t>CALDO DE MOELA</t>
  </si>
  <si>
    <t>CALDO DE RABADA</t>
  </si>
  <si>
    <t>CALDO PERNIL</t>
  </si>
  <si>
    <t>CREME DE AIPIM(0,259G)</t>
  </si>
  <si>
    <t>MOCOFAVA</t>
  </si>
  <si>
    <t>MOLHO ALFREDO</t>
  </si>
  <si>
    <t>MOLHO BASE DE CAMARÃO</t>
  </si>
  <si>
    <t>MOLHO DE PIMENTA</t>
  </si>
  <si>
    <t>MOLHO DE CARNE</t>
  </si>
  <si>
    <t>CONTROLE DE ESTOQUE BEBIDAS BAR DO ZECA</t>
  </si>
  <si>
    <t>BEBIDAS PEDRO PACHECO</t>
  </si>
  <si>
    <t>BEBIDAS ALCOOLICAS</t>
  </si>
  <si>
    <t xml:space="preserve">AZUMA </t>
  </si>
  <si>
    <t>ANGOSTURA CARIBBEAN RUM</t>
  </si>
  <si>
    <t>CAPEL</t>
  </si>
  <si>
    <t>APERITIVO FERNET AMARGO ASTECA (900ml)</t>
  </si>
  <si>
    <t xml:space="preserve">NOILY PRAT </t>
  </si>
  <si>
    <t>APERITIVO FERNET BRANCA (750ml)</t>
  </si>
  <si>
    <t>FERNET</t>
  </si>
  <si>
    <t>APERITIVO JAGERMEISTER (700ml)</t>
  </si>
  <si>
    <t>PARA TUDO</t>
  </si>
  <si>
    <t xml:space="preserve">CINZANO V. ROSSO </t>
  </si>
  <si>
    <t>YAGUARA</t>
  </si>
  <si>
    <t>APERITIVO APEROL (750ml)</t>
  </si>
  <si>
    <t>SMIRNOFF FRUTADA</t>
  </si>
  <si>
    <t>APERITIVO CYNAR (900ml)</t>
  </si>
  <si>
    <t>KETEL ONE BOTANICAL</t>
  </si>
  <si>
    <t>APERITIVO CAMPARI MILANO BITTER (900ml)</t>
  </si>
  <si>
    <t>ABSOLUT ELIK</t>
  </si>
  <si>
    <t>APERITIVO PARATUDO (900ml)</t>
  </si>
  <si>
    <t xml:space="preserve">APERITIVO UNDERBERG </t>
  </si>
  <si>
    <t>BITTER ANGOSTURA</t>
  </si>
  <si>
    <t xml:space="preserve">CACHAÇA 51 </t>
  </si>
  <si>
    <t>CACHAÇA GABRIELA</t>
  </si>
  <si>
    <t>CACHAÇA BOAZINHA (600ml)</t>
  </si>
  <si>
    <t>CACHAÇA COQUEIRO BANANA</t>
  </si>
  <si>
    <t>CACHAÇA CRIOULA (600ml)</t>
  </si>
  <si>
    <t>CACHAÇA JAMBUZADA ABACAXI</t>
  </si>
  <si>
    <t>CACHAÇA JAMBUZADA JAMBU</t>
  </si>
  <si>
    <t>CACHAÇA JAMBUZADA BANANA</t>
  </si>
  <si>
    <t>CACHAÇA JAMBUZADA AÇAI</t>
  </si>
  <si>
    <t>CACHAÇA JAMBUZADA PRATEADA</t>
  </si>
  <si>
    <t>CACHAÇA LEBLON SIGNATURE (375ml)</t>
  </si>
  <si>
    <t>CACHAÇA LEBLON (750ml)</t>
  </si>
  <si>
    <t>CACHAÇA MARIBONDO (890ml)</t>
  </si>
  <si>
    <t>CACHAÇA MAGNIFICA PRATA</t>
  </si>
  <si>
    <t>CACHAÇA MAGNIFICA EXTRA PREMIUM</t>
  </si>
  <si>
    <t>CACHAÇA NEGA FULÔ CARVALHO (750ml)</t>
  </si>
  <si>
    <t>CACHAÇA SANTO GRAU PARATY (750ml)</t>
  </si>
  <si>
    <t>CACHAÇA SALINAS TRADICIONAL (600ml)</t>
  </si>
  <si>
    <t>CACHAÇA SAGATIBA PURA (700ml)</t>
  </si>
  <si>
    <t>CACHAÇA SELETA (600ml)</t>
  </si>
  <si>
    <t>CACHAÇA PÉ NA AREIA CLASSICA (750ml)</t>
  </si>
  <si>
    <t>CACHAÇA VELHO BARREIRO (910ml)</t>
  </si>
  <si>
    <t>CACHAÇA TAKARAY CARVALHO E AMBURANA (500ml)</t>
  </si>
  <si>
    <t>CACHAÇA TELLURA OURO (670ml)</t>
  </si>
  <si>
    <t>CACHAÇA TELLURA PRATA (700ml)</t>
  </si>
  <si>
    <t>CACHAÇA YAGUARA BRANCA (750ml)</t>
  </si>
  <si>
    <t>CACHAÇA YPIOCA RESERVA (965ml)</t>
  </si>
  <si>
    <t>CACHAÇA YPIOCA OURO (965ml)</t>
  </si>
  <si>
    <t>CACHAÇA YPIOCA PRATA (965ml)</t>
  </si>
  <si>
    <t>CERVEJA ANTARCTICA ORIGINAL (600ml)</t>
  </si>
  <si>
    <t>CERVEJA BRAHMA (600ml)</t>
  </si>
  <si>
    <t>CERVEJA BRAHMA DUPLO MALTE (330ml)</t>
  </si>
  <si>
    <t xml:space="preserve">CILINDROS </t>
  </si>
  <si>
    <t>CERVEJA BRAHMA DUPLO MALTE (600ml)</t>
  </si>
  <si>
    <t>CERVEJA BRAHMA MALZBEER LONG NECK (355ml)</t>
  </si>
  <si>
    <t>CERVEJA BRAHMA ZERO ÁLCOOL LONG NECK (355ml)</t>
  </si>
  <si>
    <t>CERVEJA BECKS LONG NECK (330ml)</t>
  </si>
  <si>
    <t>CERVEJA CARACU (350ml)</t>
  </si>
  <si>
    <t>CERVEJA CORONA LONG NECK (330ml)</t>
  </si>
  <si>
    <t>CERVEJA STELLA LONG NECK (330ml)</t>
  </si>
  <si>
    <t>CERVEJA STELLA 600ml</t>
  </si>
  <si>
    <t>CERVEJA AMSTEL (600ml)</t>
  </si>
  <si>
    <t>CERVEJA HEINEKEN 600 ML</t>
  </si>
  <si>
    <t xml:space="preserve">CERVEJA HEINEKEN 330 ML </t>
  </si>
  <si>
    <t>CERVEJA HEINEKEN 330 ML ZERO</t>
  </si>
  <si>
    <t>COGNAC HENNESSY VERY SPECIAL (700ml)</t>
  </si>
  <si>
    <t>COGNAC HENNESSY VSOP (700ml)</t>
  </si>
  <si>
    <t>CONHAQUE DOMECQ (1000ml)</t>
  </si>
  <si>
    <t>CONHAQUE HENNESSY ESPECIAL</t>
  </si>
  <si>
    <t>CONHAQUE HENNESSY</t>
  </si>
  <si>
    <t>CONHAQUE FUNDADOR ESPANHA (750ml)</t>
  </si>
  <si>
    <t>CHOPP BRAHMA (50lts)</t>
  </si>
  <si>
    <t>CHOPP AMSTEL (30LT)</t>
  </si>
  <si>
    <t>CHOPP HEINEKEN (30LT)</t>
  </si>
  <si>
    <t>GIN ARAPURU (750ml)</t>
  </si>
  <si>
    <t>GIN AMÁZZONI (750ml)</t>
  </si>
  <si>
    <t>GIN AMÁZONI MANIUARA (750ml)</t>
  </si>
  <si>
    <t>GIN AMÁZZONI RIO NEGRO (750ml)</t>
  </si>
  <si>
    <t>GIN BEEFEATER BOTANICS 750ml</t>
  </si>
  <si>
    <t>GIN BEEFEATER LONDON DRY (750ml)</t>
  </si>
  <si>
    <t>GIN BEEFEATER PINK (750ml)</t>
  </si>
  <si>
    <t>GIN BEEFEATER LEMON E GINGER (750ml)</t>
  </si>
  <si>
    <t>GIN BOMBAY SAPPHIRE (750ml)</t>
  </si>
  <si>
    <t>GIN BOMBAY BRAMBLE</t>
  </si>
  <si>
    <t>GIN BOMBAY SAPPHIRE (1000ml)</t>
  </si>
  <si>
    <t>GIN STAR OF BOMBAY (750ml)</t>
  </si>
  <si>
    <t>GIN BULLDOG (750ml)</t>
  </si>
  <si>
    <t>GIN GORDON'S LONDO DRY (750ml)</t>
  </si>
  <si>
    <t>GIN HENDRICK'S (750ml)</t>
  </si>
  <si>
    <t>GIN MARINA 750ml</t>
  </si>
  <si>
    <t xml:space="preserve">GIN MARINA ROSE </t>
  </si>
  <si>
    <t>GIN MONKEY 47 (500ml)</t>
  </si>
  <si>
    <t>GIN MUTATIS (700ml)</t>
  </si>
  <si>
    <t>GIN ARPO 5 LT</t>
  </si>
  <si>
    <t>GIN ARPO 750 ML</t>
  </si>
  <si>
    <t>GIN TANQUERAY FLOR DE SEVILLA (700ml)</t>
  </si>
  <si>
    <t>GIN TANQUERAY LONDON DRY (750ml)</t>
  </si>
  <si>
    <t>GIN TANQUERAY RANGPUR (700ml)</t>
  </si>
  <si>
    <t>GIN TANQUERAY TEN (750ml)</t>
  </si>
  <si>
    <t>GIN TANQUERAY ROYALE</t>
  </si>
  <si>
    <t>GIN THE BOTANIST</t>
  </si>
  <si>
    <t>GIN VELVO BOTANIC PREMIUM (700ml)</t>
  </si>
  <si>
    <t xml:space="preserve">LICOR  AMARULA </t>
  </si>
  <si>
    <t>LICOR MALIBU</t>
  </si>
  <si>
    <t>LICOR CAFÉ</t>
  </si>
  <si>
    <t>LICOR AMARETTO DELL ORSO</t>
  </si>
  <si>
    <t>LICOR AMARULA CREAM (750ml)</t>
  </si>
  <si>
    <t xml:space="preserve">LICOR DIEGO ZAMORA 43 </t>
  </si>
  <si>
    <t>LICOR BAILEYS (750ml)</t>
  </si>
  <si>
    <t>LICOR JAGERMEISTER</t>
  </si>
  <si>
    <t>LICOR COINTREAU (700ml)</t>
  </si>
  <si>
    <t>LICOR DRAMBUIE (750ml)</t>
  </si>
  <si>
    <t>LICOR FRANGELICO (700ml)</t>
  </si>
  <si>
    <t>LICOR GABRIEL BOUDIER CREME DE CASSIS</t>
  </si>
  <si>
    <t>LICOR LIMONCELLO CARAVELLAS (750ml)</t>
  </si>
  <si>
    <t xml:space="preserve">LICOR PÁTRON X.O CAFÉ INCENDIO (750ml) </t>
  </si>
  <si>
    <t>LICOR PÁTRON X.O CAFÉ (750ml)</t>
  </si>
  <si>
    <t>LICOR ST. GERMAIN (750ml)</t>
  </si>
  <si>
    <t>LICOR STOCK PEACH</t>
  </si>
  <si>
    <t>LICOR STOCK CREME DE CACAO (720ml)</t>
  </si>
  <si>
    <t>LICOR STOCK CREME DE CASSIS (720ml)</t>
  </si>
  <si>
    <t>LICOR VILLA MASSA LIMONCELLO (700ml)</t>
  </si>
  <si>
    <t>PISCO LABEL (750ML)</t>
  </si>
  <si>
    <t>RUM BACARDÍ CARTA BRANCA (980ml)</t>
  </si>
  <si>
    <t>RUM BACARDÍ CARTA ORO (980ml)</t>
  </si>
  <si>
    <t>RUM BARCARDÍ 8 ANOS (750ml)</t>
  </si>
  <si>
    <t>RUM APPLETON ESTATE SIGNATURE BLEND (700ml)</t>
  </si>
  <si>
    <t>RUM APPLETON ESTATE RARE BLEND 12 ANOS (700ml)</t>
  </si>
  <si>
    <t>RUM MALIBU (750ml)</t>
  </si>
  <si>
    <t>RUM SAILOR JERRY (700ml)</t>
  </si>
  <si>
    <t>RUM ZACAPA 23 ANOS (750ml)</t>
  </si>
  <si>
    <t>RUM ZACAPA CENTENÁRIO X.O (750ml)</t>
  </si>
  <si>
    <t>SAKÊ AZUMA KIRIN (740ml)</t>
  </si>
  <si>
    <t>TEQUILA EL JIMADOR PRATA</t>
  </si>
  <si>
    <t>TEQUILA EL JIMADOR REPOSADO</t>
  </si>
  <si>
    <t>TEQUILA JOSÉ CUERVO OURO (750ml)</t>
  </si>
  <si>
    <t>TEQUILA JOSÉ CUERVO PRATA (750ml)</t>
  </si>
  <si>
    <t>TEQUILA PÁTRON CAFÉ</t>
  </si>
  <si>
    <t>TEQUILA PÁTRON SILVER (750ml)</t>
  </si>
  <si>
    <t>TEQUILA PATRON PRATA</t>
  </si>
  <si>
    <t>VERMOUTH CARPANO PUNT&amp;MÊS (1000ml)</t>
  </si>
  <si>
    <t>VERMOUTH CINZANO ROSSO (950ml)</t>
  </si>
  <si>
    <t xml:space="preserve">VERMOUTH MARTINI EXTRA DRY </t>
  </si>
  <si>
    <t>VERMOUTH NOILLY PRAT (750ml)</t>
  </si>
  <si>
    <t>VODKA ABSOLUT (1000ml)</t>
  </si>
  <si>
    <t>VODKA CIROC (750ml)</t>
  </si>
  <si>
    <t>VODKA ABSOLUT EXTRAKT NO .1 (750ml)</t>
  </si>
  <si>
    <t>VODKA ABSOLUT PEARS (1lts)</t>
  </si>
  <si>
    <t>VODKA ABSOLUT ELYX (750ml)</t>
  </si>
  <si>
    <t>VODKA ABSOLUT RASPBERRI</t>
  </si>
  <si>
    <t>VODKA GREY GOOSE ORIGINAL (750ml)</t>
  </si>
  <si>
    <t xml:space="preserve">VODKA GREY GOOSE LE CITRON </t>
  </si>
  <si>
    <t>VODKA GREY GOOSE L'ORANGE (750ml)</t>
  </si>
  <si>
    <t>VODKA GREY GOOSE LE POIRE (750ml)</t>
  </si>
  <si>
    <t>VODKA KETEL ONE (1000ml)</t>
  </si>
  <si>
    <t>VODKA KETEL ONE ORANGE</t>
  </si>
  <si>
    <t>VODKA KETEL ONE BOTANCIAL CUCUMBER</t>
  </si>
  <si>
    <t>VODKA KETEL ONE GRAPEFRUIT &amp; ROSE (1000ml)</t>
  </si>
  <si>
    <t>VODKA SKY (980ml)</t>
  </si>
  <si>
    <t>VODKA SMIRNOFF (998ml)</t>
  </si>
  <si>
    <t>VODKA SMIRNOFF FRUTAS</t>
  </si>
  <si>
    <t>WHISKY BALLANTINES FINEST (1000ml)</t>
  </si>
  <si>
    <t>WHISKY BALLANTINES 12 ANOS (1000ml)</t>
  </si>
  <si>
    <t>WHISKY BULLET BOURBON (750ml)</t>
  </si>
  <si>
    <t>WHISKY BUCHANAN'S DELUXE 12 ANOS (1000ml)</t>
  </si>
  <si>
    <t>WHISKY CHIVAS REGAL 12 ANOS (750ml)</t>
  </si>
  <si>
    <t>WHISKY CHIVAS REGAL 18 ANOS (750ml)</t>
  </si>
  <si>
    <t>WHISKY DEWARS WHITE LABEL (1000ml)</t>
  </si>
  <si>
    <t>WHISKY GENTLEMAN JACK DANIEL'S (1000ml)</t>
  </si>
  <si>
    <t>WHISKY GLENFIDDICH 12 ANOS (750ml)</t>
  </si>
  <si>
    <t>WHISKY GLENFIDDICH 18 ANOS (750ml)</t>
  </si>
  <si>
    <t>WHISKY GLENMORANGIE (750ml)</t>
  </si>
  <si>
    <t>WHISKY GLENMORANGIE NECTAR</t>
  </si>
  <si>
    <t>WHISKY GRANTS</t>
  </si>
  <si>
    <t>WHISKY LOGAN HERITAGE BELND (700ml)</t>
  </si>
  <si>
    <t xml:space="preserve">WHISKY MACALLAN 12 ANOS </t>
  </si>
  <si>
    <t>WHISKY MAKER'S MARK (750ml)</t>
  </si>
  <si>
    <t>WHISKY IRLANDÊS JAMESON (750ml)</t>
  </si>
  <si>
    <t>WHISKY JACK DANIEL'S (1000ml)</t>
  </si>
  <si>
    <t>WHISKY JACK DANIEL'S FIRE CANELA (1000ml)</t>
  </si>
  <si>
    <t>WHISKY JACK DANIEL'S HONEY (1000ml)</t>
  </si>
  <si>
    <t xml:space="preserve">WHISKY JACK DANIEL´S APPLE </t>
  </si>
  <si>
    <t>WHISKY JW GOLD LABEL RESERVE (750ml)</t>
  </si>
  <si>
    <t xml:space="preserve">WHISKY JW BLONDE 750ML </t>
  </si>
  <si>
    <t>WHISKY JIM BEAM WHITE BOURBON (1000ml)</t>
  </si>
  <si>
    <t>WHISKY JW DOUBLE BLACK (1000ml)</t>
  </si>
  <si>
    <t>WHISKY JW BLACK LABEL (1000ml)</t>
  </si>
  <si>
    <t>WHISKY JW BLUE LABEL (750ml)</t>
  </si>
  <si>
    <t>WHISKY JW RED LABEL (1000ml)</t>
  </si>
  <si>
    <t xml:space="preserve">WHISKY JW PLATINUM </t>
  </si>
  <si>
    <t>WHISKY OLD PARR SILVER (1000ml)</t>
  </si>
  <si>
    <t>WHISKY OLD PARR 12 ANOS (1000ml)</t>
  </si>
  <si>
    <t>WHISKY WILD TURKEY BOURBON ORIGINAL (1000ml)</t>
  </si>
  <si>
    <t>WHISKY WILD TURKEY 81 (1000ml)</t>
  </si>
  <si>
    <t>WHISKY THE DALMORE 12 ANOS (700ml)</t>
  </si>
  <si>
    <t>WHISKY THE DALMORE 15 ANOS (700ml)</t>
  </si>
  <si>
    <t>TOTAL BEBIDAS ALCOÓLICAS</t>
  </si>
  <si>
    <t>BEBIDAS NÃO ALCOÓLICAS (ESTOQUE)</t>
  </si>
  <si>
    <t>ÁGUA SEM GÁS (1,5lts)</t>
  </si>
  <si>
    <t xml:space="preserve">ÁGUA COM GÁS 1,5 LT </t>
  </si>
  <si>
    <t>ÁGUA SEM GÁS (350ml)</t>
  </si>
  <si>
    <t>ÁGUA COM GÁS (350ml)</t>
  </si>
  <si>
    <t>ÁGUA DE COCO (200ml)</t>
  </si>
  <si>
    <t>ÁGUA DE COCO (1lts)</t>
  </si>
  <si>
    <t>COCA COLA KS</t>
  </si>
  <si>
    <t>COCA COLA ZERO KS</t>
  </si>
  <si>
    <t>COCA COLA LATA</t>
  </si>
  <si>
    <t>COCA COLA ZERO LATA</t>
  </si>
  <si>
    <t>GUARANÁ ANTARCTICA (350ml)</t>
  </si>
  <si>
    <t>GUARANÁ ANTARCTICA ZERO (350ml)</t>
  </si>
  <si>
    <t>GUARANÁ NATURAL (5lts)</t>
  </si>
  <si>
    <t>LIPTON PÊSSEGO (350ml)</t>
  </si>
  <si>
    <t>MATTE</t>
  </si>
  <si>
    <t>SUCO MIKE' PITAIA</t>
  </si>
  <si>
    <t>SUCO MIKE' TANGERINA</t>
  </si>
  <si>
    <t>POWER ADE</t>
  </si>
  <si>
    <t>TÔNICA SCHWEPPES</t>
  </si>
  <si>
    <t>TÔNICA SCHWEPPES ZERO</t>
  </si>
  <si>
    <t xml:space="preserve">TÔNICA PINK LIMONADE </t>
  </si>
  <si>
    <t>CITRUS</t>
  </si>
  <si>
    <t>UND.</t>
  </si>
  <si>
    <t>RED BULL ZERO</t>
  </si>
  <si>
    <t>RED BULL AÇAI</t>
  </si>
  <si>
    <t>RED BULL COCO</t>
  </si>
  <si>
    <t>RED BULL MORANGO/PESSEGO</t>
  </si>
  <si>
    <t>RED BULL MELANCIA (250ml)</t>
  </si>
  <si>
    <t>RED BULL CEREJA</t>
  </si>
  <si>
    <t>RED BULL THE TROPICAL EDITION (250ml)</t>
  </si>
  <si>
    <t>SUCO DELL VALLE PÊSSEGO</t>
  </si>
  <si>
    <t>SUCO DELL VALE UVA</t>
  </si>
  <si>
    <t>XAROPE MONIN LIMÃO SICILIANO (700ml)</t>
  </si>
  <si>
    <t>MONIN TEQUILA AGAVE</t>
  </si>
  <si>
    <t>XAROPE FÓRMLA 700ML</t>
  </si>
  <si>
    <t>XAROPE MONIN AÇAI (700ml)</t>
  </si>
  <si>
    <t>XAROPE MONIN AMORA (700ml)</t>
  </si>
  <si>
    <t>XAROPE MONIN FLOR DE SABUGUEIRO (700ml)</t>
  </si>
  <si>
    <t xml:space="preserve">XAROPE MONIN BAUNILHA </t>
  </si>
  <si>
    <t>XAROPE MONIN GRENADINE (700ml)</t>
  </si>
  <si>
    <t>XAROPE MONIN LARANJA SPRITZ</t>
  </si>
  <si>
    <t>XAROPE MONIN MAÇÃ VERDE (700ml)</t>
  </si>
  <si>
    <t>XAROPE MONIN TANGERINA</t>
  </si>
  <si>
    <t>XAROPE MONIN ROSA (700ml)</t>
  </si>
  <si>
    <t>XAROPE MONIN MIJOTO</t>
  </si>
  <si>
    <t>XAROPE MONIN ROMÃ</t>
  </si>
  <si>
    <t>XAROPE MONIN PIPOCA</t>
  </si>
  <si>
    <t>XAROPE MONIN VIOLETA (700ml)</t>
  </si>
  <si>
    <t>TOTAL BEBIDAS NÃO ALCOÓLICAS</t>
  </si>
  <si>
    <t>PERDAS</t>
  </si>
  <si>
    <t>Produto</t>
  </si>
  <si>
    <t>Quantidade</t>
  </si>
  <si>
    <t>Valor Unitario/kg</t>
  </si>
  <si>
    <t>Valor Total</t>
  </si>
  <si>
    <t>x</t>
  </si>
  <si>
    <t>PRATOS</t>
  </si>
  <si>
    <t>BEB ALC</t>
  </si>
  <si>
    <t>BEB NÃO ALC</t>
  </si>
  <si>
    <t>LIMP/DESCT</t>
  </si>
  <si>
    <t>ÁLCOOL 70% (1lts)</t>
  </si>
  <si>
    <t>CACHAÇA BANANINHA</t>
  </si>
  <si>
    <t>TÔNICA PINK LIMONADE RED MIN</t>
  </si>
  <si>
    <t xml:space="preserve">RED BULL </t>
  </si>
  <si>
    <t>XAROPE MONIN AMENDOAS (700ml)</t>
  </si>
  <si>
    <t>XAROPE MONIN COCO (700ml)</t>
  </si>
  <si>
    <t>XAROPE MONIN CURAÇAU BLUE  (700ml)</t>
  </si>
  <si>
    <t>XAROPE MONIN SPICY MANGO (700ml)</t>
  </si>
  <si>
    <t>XAROPE MONIN AVELÃ (700ml)</t>
  </si>
  <si>
    <t>XAROPE MONIN CARAMELO SALGADO  (700ml)</t>
  </si>
  <si>
    <t>XAROPE MONIN COOKIE DE CHOCOLATE (700ml)</t>
  </si>
  <si>
    <t>AIPIM CONGELADO (1KG)</t>
  </si>
  <si>
    <t>CARNE SECA (150g)</t>
  </si>
  <si>
    <t>BAGUETE 200GR</t>
  </si>
  <si>
    <t>PÃO DE HAMBURGUER SMASH</t>
  </si>
  <si>
    <t>CARNE ASSADA (150G)</t>
  </si>
  <si>
    <t>CAMARÃO 80 GR</t>
  </si>
  <si>
    <t>TORRESMO (300g)</t>
  </si>
  <si>
    <t xml:space="preserve">MOSTARDA SACHÊ </t>
  </si>
  <si>
    <t>PALITO DE BAMBU (9CM)</t>
  </si>
  <si>
    <t>LUVA DE PLÁSTICO (C/100) PRETA E BRANCA</t>
  </si>
  <si>
    <t>XAROPE MONIN CHÁ DE LIMÃO</t>
  </si>
  <si>
    <t>XAROPE MONIN FRUTAS VERMELHAS (700ml)</t>
  </si>
  <si>
    <t>XAROPE MONIN CARAMEL BOTTEGA</t>
  </si>
  <si>
    <t>MAÇARICO</t>
  </si>
  <si>
    <t>BOLINHO DE AIPIM COM QUEIJO</t>
  </si>
  <si>
    <t>PÃO DE QUEIJO</t>
  </si>
  <si>
    <t>TOUCA DESCARTÁVEL PRETA</t>
  </si>
  <si>
    <t>PAPEL TOALHA SUZANO</t>
  </si>
  <si>
    <t>PAPEL HIGIÊNICO SUZANO</t>
  </si>
  <si>
    <t>BOBO DE CAMARÃO 400gr</t>
  </si>
  <si>
    <t>DEMI GLACE KG</t>
  </si>
  <si>
    <t>RECHEIO DE PASTEL MUSSARELA E GRANA PADANO</t>
  </si>
  <si>
    <t>RECHEIO DE CARNE MOÍDA</t>
  </si>
  <si>
    <t>BARBECUE DE GOIABADA 600GR</t>
  </si>
  <si>
    <t>CALDO DE MOCOTÓ 250GR</t>
  </si>
  <si>
    <t>GELEIA DE PIMENTA 600GR</t>
  </si>
  <si>
    <t>MOLHO TARTARO</t>
  </si>
  <si>
    <t>PARMESÃO QUEIJO RALADO</t>
  </si>
  <si>
    <t>RONDELE DE PRESUNTO E QUEIJO</t>
  </si>
  <si>
    <t>NHOQUE 150gr</t>
  </si>
  <si>
    <t>QUICHE QUEIJO</t>
  </si>
  <si>
    <t>QUICHE DE BACON</t>
  </si>
  <si>
    <t>QUICHE DE FRANGO COM ALHO PORÓ</t>
  </si>
  <si>
    <t>QUICHE DE LEGUMES</t>
  </si>
  <si>
    <t>QUICHE DE SALMÃO COM CEBOLA</t>
  </si>
  <si>
    <t>SACO DE AMOSTRA</t>
  </si>
  <si>
    <t>MARSHMELLOWS</t>
  </si>
  <si>
    <t>MAIONESE DE ALHO</t>
  </si>
  <si>
    <t>CAFÉ CAPSULA</t>
  </si>
  <si>
    <t>CANELONE</t>
  </si>
  <si>
    <t>PASTEL DE CAMARÃO</t>
  </si>
  <si>
    <t>PASTEL DE CARNE</t>
  </si>
  <si>
    <t>ISCA DE FRANGO INFANTIL</t>
  </si>
  <si>
    <t>CACHAÇA SOLEDADE 5 MADEIRAS</t>
  </si>
  <si>
    <t>CACHAÇA SOLEDADE PAU BRASIL</t>
  </si>
  <si>
    <t>TANJAL</t>
  </si>
  <si>
    <t>XAROPE MONIN JABUTICABA</t>
  </si>
  <si>
    <t>TORRESMO 1KG</t>
  </si>
  <si>
    <t>CALDO DE FEIJÃO</t>
  </si>
  <si>
    <t>FEIJÃO PRONTO</t>
  </si>
  <si>
    <t>FAROFA PRONTA</t>
  </si>
  <si>
    <t>MÚSCULO</t>
  </si>
  <si>
    <t>BANANA DA TERRA</t>
  </si>
  <si>
    <t>COCA COLA 2LTS</t>
  </si>
  <si>
    <t>COCA COLA ZERO 2LTS</t>
  </si>
  <si>
    <t>TEQUILA 1800</t>
  </si>
  <si>
    <t>MOLHO DE TOMATE APIMENTADO</t>
  </si>
  <si>
    <t>MOLHO DE TOMATE E MANJERICÃO</t>
  </si>
  <si>
    <t>MOSTARDA ESCURA 280GR</t>
  </si>
  <si>
    <t>BUCHO</t>
  </si>
  <si>
    <t>AIPIM COZIDO 1KG</t>
  </si>
  <si>
    <t>AIPIM TRITURADO</t>
  </si>
  <si>
    <t>PALITO DE PÃO DE QUEIJO</t>
  </si>
  <si>
    <t>MINI TRIO DE HAMBURGUER</t>
  </si>
  <si>
    <t>FRANGO A PASSARINHO</t>
  </si>
  <si>
    <t>MINI HAMBURGUER BRIOCHE</t>
  </si>
  <si>
    <t>COLHER DESCARTÁVEL (C/200)</t>
  </si>
  <si>
    <t>CEBOLA CRISPY</t>
  </si>
  <si>
    <t>COXÃO MOLE</t>
  </si>
  <si>
    <t>MONSTER</t>
  </si>
  <si>
    <t>CHIMICHURRI</t>
  </si>
  <si>
    <t>COMINHO</t>
  </si>
  <si>
    <t>CURRY</t>
  </si>
  <si>
    <t>CERVEJA STELLA PURE GOLD LONG NECK (330ml)</t>
  </si>
  <si>
    <t>CERVEJA CORONA ZERO LONG NECK (330ml)</t>
  </si>
  <si>
    <t>CERVEJA AMSTEL ULTRA LONG NECK 330ML</t>
  </si>
  <si>
    <t>GIN SEGREDO DE BAKKO</t>
  </si>
  <si>
    <t>ESPUMANTE SALTON</t>
  </si>
  <si>
    <t xml:space="preserve">LOMBO SUÍNO  </t>
  </si>
  <si>
    <t>LICOR CABRALAB</t>
  </si>
  <si>
    <t>CACHAÇA XEREM</t>
  </si>
  <si>
    <t>WHISKY CHIVAS REGAL 21 ANOS (750ml)</t>
  </si>
  <si>
    <t>XAROPE MONIN MARACUJÁ AZUL (700ml)</t>
  </si>
  <si>
    <t>XAROPE MONIN MARSHMELOW</t>
  </si>
  <si>
    <t>XAROPE MONIN ALGODÃO DOCE (700ml)</t>
  </si>
  <si>
    <t>XAROPE MONIN PISTACHE</t>
  </si>
  <si>
    <t>MOQUECA DE BANANA</t>
  </si>
  <si>
    <t>LUVAS DE VINIL</t>
  </si>
  <si>
    <t>GIN TUKÁ</t>
  </si>
  <si>
    <t>GIN TANQUERAY BOSSA NOVA (700ml)</t>
  </si>
  <si>
    <t>RUM BARCARDÍ 4 ANOS (750ml)</t>
  </si>
  <si>
    <t>ESPUMANTE SALTON 0/0%</t>
  </si>
  <si>
    <t>XAROPE MONIN RASPBERRY</t>
  </si>
  <si>
    <t>CHAMPIGNON</t>
  </si>
  <si>
    <t>PÁPRICA DEFUMADA</t>
  </si>
  <si>
    <t>VINAGRETE</t>
  </si>
  <si>
    <t>COLORAU</t>
  </si>
  <si>
    <t>DEDEIRA</t>
  </si>
  <si>
    <t>RUM BACCARAT</t>
  </si>
  <si>
    <t>CACHAÇA DO ZECA</t>
  </si>
  <si>
    <t>ESPUMANTE ATOS LICOROSO</t>
  </si>
  <si>
    <t>CERVEJA STELLA PURE GOLD 600ML</t>
  </si>
  <si>
    <t>VODKA SMIRNOFF ICE</t>
  </si>
  <si>
    <t>PERNIL</t>
  </si>
  <si>
    <t>ASA DE FRANGO</t>
  </si>
  <si>
    <t>BOMBOM DA ALCATRA</t>
  </si>
  <si>
    <t>ARRIBA</t>
  </si>
  <si>
    <t>MOLHO SOUR CREAM</t>
  </si>
  <si>
    <t>CERVEJA HEINEKEN 330 ML ULTIMATE</t>
  </si>
  <si>
    <t>NORTE SHOPPING</t>
  </si>
  <si>
    <t>NABO</t>
  </si>
  <si>
    <t>GRÃO DE BICO</t>
  </si>
  <si>
    <t>MELADO</t>
  </si>
  <si>
    <t>MASSA LASANHA</t>
  </si>
  <si>
    <t>MOLHO SHOYO (1lt)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</si>
</sst>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9"/>
      <color rgb="FF21252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rgb="FF3FAF46"/>
        <bgColor rgb="FF3FAF46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00B050"/>
        <bgColor rgb="FF00B050"/>
      </patternFill>
    </fill>
    <fill>
      <patternFill patternType="solid">
        <fgColor rgb="FF70AD47"/>
        <bgColor rgb="FF70AD47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43" fontId="4" fillId="6" borderId="4" xfId="0" applyNumberFormat="1" applyFont="1" applyFill="1" applyBorder="1" applyAlignment="1" applyProtection="1">
      <alignment horizontal="left" vertical="center"/>
      <protection locked="0"/>
    </xf>
    <xf numFmtId="43" fontId="4" fillId="5" borderId="4" xfId="0" applyNumberFormat="1" applyFont="1" applyFill="1" applyBorder="1" applyAlignment="1" applyProtection="1">
      <alignment horizontal="left" vertical="center"/>
      <protection locked="0"/>
    </xf>
    <xf numFmtId="43" fontId="4" fillId="5" borderId="4" xfId="0" applyNumberFormat="1" applyFont="1" applyFill="1" applyBorder="1" applyAlignment="1">
      <alignment horizontal="left" vertical="center"/>
    </xf>
    <xf numFmtId="43" fontId="4" fillId="5" borderId="18" xfId="0" applyNumberFormat="1" applyFont="1" applyFill="1" applyBorder="1" applyAlignment="1">
      <alignment horizontal="left" vertical="center"/>
    </xf>
    <xf numFmtId="43" fontId="4" fillId="5" borderId="18" xfId="1" applyNumberFormat="1" applyFont="1" applyFill="1" applyBorder="1" applyAlignment="1">
      <alignment horizontal="left" vertical="center"/>
    </xf>
    <xf numFmtId="43" fontId="3" fillId="5" borderId="22" xfId="0" applyNumberFormat="1" applyFont="1" applyFill="1" applyBorder="1" applyAlignment="1" applyProtection="1">
      <alignment horizontal="left" vertical="center"/>
      <protection locked="0"/>
    </xf>
    <xf numFmtId="43" fontId="4" fillId="11" borderId="4" xfId="0" applyNumberFormat="1" applyFont="1" applyFill="1" applyBorder="1" applyAlignment="1">
      <alignment horizontal="left" vertical="center"/>
    </xf>
    <xf numFmtId="43" fontId="2" fillId="0" borderId="1" xfId="0" applyNumberFormat="1" applyFont="1" applyBorder="1" applyAlignment="1" applyProtection="1">
      <alignment horizontal="left" vertical="center"/>
      <protection locked="0"/>
    </xf>
    <xf numFmtId="43" fontId="2" fillId="0" borderId="2" xfId="0" applyNumberFormat="1" applyFont="1" applyBorder="1" applyAlignment="1" applyProtection="1">
      <alignment horizontal="left" vertical="center"/>
      <protection locked="0"/>
    </xf>
    <xf numFmtId="43" fontId="2" fillId="0" borderId="3" xfId="0" applyNumberFormat="1" applyFont="1" applyBorder="1" applyAlignment="1" applyProtection="1">
      <alignment horizontal="left" vertical="center"/>
      <protection locked="0"/>
    </xf>
    <xf numFmtId="43" fontId="3" fillId="0" borderId="0" xfId="0" applyNumberFormat="1" applyFont="1" applyAlignment="1" applyProtection="1">
      <alignment horizontal="left" vertical="center"/>
      <protection locked="0"/>
    </xf>
    <xf numFmtId="43" fontId="4" fillId="3" borderId="4" xfId="0" applyNumberFormat="1" applyFont="1" applyFill="1" applyBorder="1" applyAlignment="1" applyProtection="1">
      <alignment horizontal="left" vertical="center"/>
      <protection locked="0"/>
    </xf>
    <xf numFmtId="43" fontId="4" fillId="4" borderId="4" xfId="0" applyNumberFormat="1" applyFont="1" applyFill="1" applyBorder="1" applyAlignment="1" applyProtection="1">
      <alignment horizontal="left" vertical="center"/>
      <protection locked="0"/>
    </xf>
    <xf numFmtId="43" fontId="3" fillId="0" borderId="18" xfId="0" applyNumberFormat="1" applyFont="1" applyBorder="1" applyAlignment="1" applyProtection="1">
      <alignment horizontal="left" vertical="center"/>
      <protection locked="0"/>
    </xf>
    <xf numFmtId="43" fontId="3" fillId="0" borderId="4" xfId="0" applyNumberFormat="1" applyFont="1" applyBorder="1" applyAlignment="1" applyProtection="1">
      <alignment horizontal="left" vertical="center"/>
      <protection locked="0"/>
    </xf>
    <xf numFmtId="43" fontId="4" fillId="0" borderId="4" xfId="0" applyNumberFormat="1" applyFont="1" applyBorder="1" applyAlignment="1" applyProtection="1">
      <alignment horizontal="left" vertical="center"/>
      <protection locked="0"/>
    </xf>
    <xf numFmtId="43" fontId="3" fillId="0" borderId="5" xfId="0" applyNumberFormat="1" applyFont="1" applyBorder="1" applyAlignment="1" applyProtection="1">
      <alignment horizontal="left" vertical="center"/>
      <protection locked="0"/>
    </xf>
    <xf numFmtId="43" fontId="4" fillId="8" borderId="6" xfId="0" applyNumberFormat="1" applyFont="1" applyFill="1" applyBorder="1" applyAlignment="1" applyProtection="1">
      <alignment horizontal="left" vertical="center"/>
      <protection locked="0"/>
    </xf>
    <xf numFmtId="43" fontId="2" fillId="0" borderId="7" xfId="0" applyNumberFormat="1" applyFont="1" applyBorder="1" applyAlignment="1" applyProtection="1">
      <alignment horizontal="left" vertical="center"/>
      <protection locked="0"/>
    </xf>
    <xf numFmtId="43" fontId="2" fillId="0" borderId="8" xfId="0" applyNumberFormat="1" applyFont="1" applyBorder="1" applyAlignment="1" applyProtection="1">
      <alignment horizontal="left" vertical="center"/>
      <protection locked="0"/>
    </xf>
    <xf numFmtId="43" fontId="4" fillId="5" borderId="9" xfId="0" applyNumberFormat="1" applyFont="1" applyFill="1" applyBorder="1" applyAlignment="1" applyProtection="1">
      <alignment horizontal="left" vertical="center"/>
      <protection locked="0"/>
    </xf>
    <xf numFmtId="43" fontId="2" fillId="0" borderId="10" xfId="0" applyNumberFormat="1" applyFont="1" applyBorder="1" applyAlignment="1" applyProtection="1">
      <alignment horizontal="left" vertical="center"/>
      <protection locked="0"/>
    </xf>
    <xf numFmtId="43" fontId="2" fillId="0" borderId="11" xfId="0" applyNumberFormat="1" applyFont="1" applyBorder="1" applyAlignment="1" applyProtection="1">
      <alignment horizontal="left" vertical="center"/>
      <protection locked="0"/>
    </xf>
    <xf numFmtId="43" fontId="4" fillId="2" borderId="12" xfId="0" applyNumberFormat="1" applyFont="1" applyFill="1" applyBorder="1" applyAlignment="1" applyProtection="1">
      <alignment horizontal="left" vertical="center"/>
      <protection locked="0"/>
    </xf>
    <xf numFmtId="43" fontId="4" fillId="0" borderId="13" xfId="0" applyNumberFormat="1" applyFont="1" applyBorder="1" applyAlignment="1" applyProtection="1">
      <alignment horizontal="left" vertical="center"/>
      <protection locked="0"/>
    </xf>
    <xf numFmtId="43" fontId="4" fillId="8" borderId="14" xfId="0" applyNumberFormat="1" applyFont="1" applyFill="1" applyBorder="1" applyAlignment="1" applyProtection="1">
      <alignment horizontal="left" vertical="center"/>
      <protection locked="0"/>
    </xf>
    <xf numFmtId="43" fontId="2" fillId="0" borderId="15" xfId="0" applyNumberFormat="1" applyFont="1" applyBorder="1" applyAlignment="1" applyProtection="1">
      <alignment horizontal="left" vertical="center"/>
      <protection locked="0"/>
    </xf>
    <xf numFmtId="43" fontId="2" fillId="0" borderId="16" xfId="0" applyNumberFormat="1" applyFont="1" applyBorder="1" applyAlignment="1" applyProtection="1">
      <alignment horizontal="left" vertical="center"/>
      <protection locked="0"/>
    </xf>
    <xf numFmtId="43" fontId="4" fillId="0" borderId="0" xfId="0" applyNumberFormat="1" applyFont="1" applyAlignment="1" applyProtection="1">
      <alignment horizontal="left" vertical="center"/>
      <protection locked="0"/>
    </xf>
    <xf numFmtId="43" fontId="4" fillId="5" borderId="17" xfId="0" applyNumberFormat="1" applyFont="1" applyFill="1" applyBorder="1" applyAlignment="1" applyProtection="1">
      <alignment horizontal="left" vertical="center"/>
      <protection locked="0"/>
    </xf>
    <xf numFmtId="43" fontId="4" fillId="5" borderId="18" xfId="0" applyNumberFormat="1" applyFont="1" applyFill="1" applyBorder="1" applyAlignment="1" applyProtection="1">
      <alignment horizontal="left" vertical="center"/>
      <protection locked="0"/>
    </xf>
    <xf numFmtId="43" fontId="4" fillId="5" borderId="19" xfId="0" applyNumberFormat="1" applyFont="1" applyFill="1" applyBorder="1" applyAlignment="1" applyProtection="1">
      <alignment horizontal="left" vertical="center"/>
      <protection locked="0"/>
    </xf>
    <xf numFmtId="43" fontId="4" fillId="0" borderId="6" xfId="0" applyNumberFormat="1" applyFont="1" applyBorder="1" applyAlignment="1" applyProtection="1">
      <alignment horizontal="left" vertical="center"/>
      <protection locked="0"/>
    </xf>
    <xf numFmtId="43" fontId="4" fillId="2" borderId="4" xfId="0" applyNumberFormat="1" applyFont="1" applyFill="1" applyBorder="1" applyAlignment="1" applyProtection="1">
      <alignment horizontal="left" vertical="center"/>
      <protection locked="0"/>
    </xf>
    <xf numFmtId="43" fontId="3" fillId="5" borderId="4" xfId="0" applyNumberFormat="1" applyFont="1" applyFill="1" applyBorder="1" applyAlignment="1" applyProtection="1">
      <alignment horizontal="left" vertical="center"/>
      <protection locked="0"/>
    </xf>
    <xf numFmtId="43" fontId="3" fillId="5" borderId="18" xfId="0" applyNumberFormat="1" applyFont="1" applyFill="1" applyBorder="1" applyAlignment="1" applyProtection="1">
      <alignment horizontal="left" vertical="center"/>
      <protection locked="0"/>
    </xf>
    <xf numFmtId="43" fontId="4" fillId="0" borderId="20" xfId="0" applyNumberFormat="1" applyFont="1" applyBorder="1" applyAlignment="1" applyProtection="1">
      <alignment horizontal="left" vertical="center"/>
      <protection locked="0"/>
    </xf>
    <xf numFmtId="43" fontId="4" fillId="5" borderId="20" xfId="0" applyNumberFormat="1" applyFont="1" applyFill="1" applyBorder="1" applyAlignment="1" applyProtection="1">
      <alignment horizontal="left" vertical="center"/>
      <protection locked="0"/>
    </xf>
    <xf numFmtId="43" fontId="4" fillId="8" borderId="20" xfId="0" applyNumberFormat="1" applyFont="1" applyFill="1" applyBorder="1" applyAlignment="1" applyProtection="1">
      <alignment horizontal="left" vertical="center"/>
      <protection locked="0"/>
    </xf>
    <xf numFmtId="43" fontId="4" fillId="6" borderId="4" xfId="0" quotePrefix="1" applyNumberFormat="1" applyFont="1" applyFill="1" applyBorder="1" applyAlignment="1" applyProtection="1">
      <alignment horizontal="left" vertical="center"/>
      <protection locked="0"/>
    </xf>
    <xf numFmtId="43" fontId="4" fillId="8" borderId="21" xfId="0" applyNumberFormat="1" applyFont="1" applyFill="1" applyBorder="1" applyAlignment="1" applyProtection="1">
      <alignment horizontal="left" vertical="center"/>
      <protection locked="0"/>
    </xf>
    <xf numFmtId="43" fontId="4" fillId="10" borderId="23" xfId="0" applyNumberFormat="1" applyFont="1" applyFill="1" applyBorder="1" applyAlignment="1" applyProtection="1">
      <alignment horizontal="left" vertical="center"/>
      <protection locked="0"/>
    </xf>
    <xf numFmtId="43" fontId="2" fillId="0" borderId="24" xfId="0" applyNumberFormat="1" applyFont="1" applyBorder="1" applyAlignment="1" applyProtection="1">
      <alignment horizontal="left" vertical="center"/>
      <protection locked="0"/>
    </xf>
    <xf numFmtId="43" fontId="4" fillId="0" borderId="5" xfId="0" applyNumberFormat="1" applyFont="1" applyBorder="1" applyAlignment="1" applyProtection="1">
      <alignment horizontal="left" vertical="center"/>
      <protection locked="0"/>
    </xf>
    <xf numFmtId="43" fontId="3" fillId="5" borderId="18" xfId="0" quotePrefix="1" applyNumberFormat="1" applyFont="1" applyFill="1" applyBorder="1" applyAlignment="1" applyProtection="1">
      <alignment horizontal="left" vertical="center"/>
      <protection locked="0"/>
    </xf>
    <xf numFmtId="43" fontId="4" fillId="2" borderId="19" xfId="0" applyNumberFormat="1" applyFont="1" applyFill="1" applyBorder="1" applyAlignment="1" applyProtection="1">
      <alignment horizontal="left" vertical="center"/>
      <protection locked="0"/>
    </xf>
    <xf numFmtId="43" fontId="4" fillId="5" borderId="18" xfId="0" applyNumberFormat="1" applyFont="1" applyFill="1" applyBorder="1" applyAlignment="1" applyProtection="1">
      <alignment horizontal="left" vertical="center" wrapText="1"/>
      <protection locked="0"/>
    </xf>
    <xf numFmtId="43" fontId="4" fillId="0" borderId="5" xfId="0" applyNumberFormat="1" applyFont="1" applyBorder="1" applyAlignment="1" applyProtection="1">
      <alignment horizontal="left" vertical="center" wrapText="1"/>
      <protection locked="0"/>
    </xf>
    <xf numFmtId="43" fontId="4" fillId="9" borderId="4" xfId="0" applyNumberFormat="1" applyFont="1" applyFill="1" applyBorder="1" applyAlignment="1" applyProtection="1">
      <alignment horizontal="left" vertical="center"/>
      <protection locked="0"/>
    </xf>
    <xf numFmtId="43" fontId="3" fillId="5" borderId="5" xfId="0" applyNumberFormat="1" applyFont="1" applyFill="1" applyBorder="1" applyAlignment="1" applyProtection="1">
      <alignment horizontal="left" vertical="center"/>
      <protection locked="0"/>
    </xf>
    <xf numFmtId="43" fontId="3" fillId="2" borderId="30" xfId="0" applyNumberFormat="1" applyFont="1" applyFill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43" fontId="3" fillId="0" borderId="0" xfId="0" applyNumberFormat="1" applyFont="1" applyAlignment="1">
      <alignment horizontal="left" vertical="center"/>
    </xf>
    <xf numFmtId="43" fontId="4" fillId="2" borderId="4" xfId="0" applyNumberFormat="1" applyFont="1" applyFill="1" applyBorder="1" applyAlignment="1">
      <alignment horizontal="left" vertical="center"/>
    </xf>
    <xf numFmtId="43" fontId="4" fillId="7" borderId="4" xfId="0" applyNumberFormat="1" applyFont="1" applyFill="1" applyBorder="1" applyAlignment="1">
      <alignment horizontal="left" vertical="center"/>
    </xf>
    <xf numFmtId="43" fontId="4" fillId="12" borderId="4" xfId="0" applyNumberFormat="1" applyFont="1" applyFill="1" applyBorder="1" applyAlignment="1">
      <alignment horizontal="left" vertical="center"/>
    </xf>
    <xf numFmtId="43" fontId="4" fillId="3" borderId="4" xfId="0" applyNumberFormat="1" applyFont="1" applyFill="1" applyBorder="1" applyAlignment="1">
      <alignment horizontal="left" vertical="center"/>
    </xf>
    <xf numFmtId="43" fontId="3" fillId="0" borderId="4" xfId="0" applyNumberFormat="1" applyFont="1" applyBorder="1" applyAlignment="1">
      <alignment horizontal="left" vertical="center"/>
    </xf>
    <xf numFmtId="43" fontId="4" fillId="0" borderId="4" xfId="0" applyNumberFormat="1" applyFont="1" applyBorder="1" applyAlignment="1">
      <alignment horizontal="left" vertical="center"/>
    </xf>
    <xf numFmtId="43" fontId="3" fillId="5" borderId="22" xfId="0" applyNumberFormat="1" applyFont="1" applyFill="1" applyBorder="1" applyAlignment="1">
      <alignment horizontal="left" vertical="center"/>
    </xf>
    <xf numFmtId="43" fontId="4" fillId="8" borderId="6" xfId="0" applyNumberFormat="1" applyFont="1" applyFill="1" applyBorder="1" applyAlignment="1">
      <alignment horizontal="left" vertical="center"/>
    </xf>
    <xf numFmtId="43" fontId="2" fillId="0" borderId="7" xfId="0" applyNumberFormat="1" applyFont="1" applyBorder="1" applyAlignment="1">
      <alignment horizontal="left" vertical="center"/>
    </xf>
    <xf numFmtId="43" fontId="2" fillId="0" borderId="8" xfId="0" applyNumberFormat="1" applyFont="1" applyBorder="1" applyAlignment="1">
      <alignment horizontal="left" vertical="center"/>
    </xf>
    <xf numFmtId="43" fontId="3" fillId="5" borderId="6" xfId="0" applyNumberFormat="1" applyFont="1" applyFill="1" applyBorder="1" applyAlignment="1">
      <alignment horizontal="left" vertical="center"/>
    </xf>
    <xf numFmtId="43" fontId="5" fillId="8" borderId="6" xfId="0" applyNumberFormat="1" applyFont="1" applyFill="1" applyBorder="1" applyAlignment="1">
      <alignment horizontal="left" vertical="center"/>
    </xf>
    <xf numFmtId="43" fontId="3" fillId="2" borderId="6" xfId="0" applyNumberFormat="1" applyFont="1" applyFill="1" applyBorder="1" applyAlignment="1">
      <alignment horizontal="left" vertical="center"/>
    </xf>
    <xf numFmtId="43" fontId="3" fillId="0" borderId="6" xfId="0" applyNumberFormat="1" applyFont="1" applyBorder="1" applyAlignment="1">
      <alignment horizontal="left" vertical="center"/>
    </xf>
    <xf numFmtId="43" fontId="3" fillId="5" borderId="4" xfId="0" applyNumberFormat="1" applyFont="1" applyFill="1" applyBorder="1" applyAlignment="1">
      <alignment horizontal="left" vertical="center"/>
    </xf>
    <xf numFmtId="43" fontId="4" fillId="6" borderId="4" xfId="0" applyNumberFormat="1" applyFont="1" applyFill="1" applyBorder="1" applyAlignment="1">
      <alignment horizontal="left" vertical="center"/>
    </xf>
    <xf numFmtId="43" fontId="3" fillId="0" borderId="18" xfId="0" applyNumberFormat="1" applyFont="1" applyBorder="1" applyAlignment="1">
      <alignment horizontal="left" vertical="center"/>
    </xf>
    <xf numFmtId="43" fontId="3" fillId="6" borderId="22" xfId="0" applyNumberFormat="1" applyFont="1" applyFill="1" applyBorder="1" applyAlignment="1">
      <alignment horizontal="left" vertical="center"/>
    </xf>
    <xf numFmtId="43" fontId="4" fillId="5" borderId="6" xfId="0" applyNumberFormat="1" applyFont="1" applyFill="1" applyBorder="1" applyAlignment="1">
      <alignment horizontal="left" vertical="center"/>
    </xf>
    <xf numFmtId="43" fontId="4" fillId="3" borderId="18" xfId="0" applyNumberFormat="1" applyFont="1" applyFill="1" applyBorder="1" applyAlignment="1">
      <alignment horizontal="left" vertical="center"/>
    </xf>
    <xf numFmtId="43" fontId="4" fillId="3" borderId="12" xfId="0" applyNumberFormat="1" applyFont="1" applyFill="1" applyBorder="1" applyAlignment="1">
      <alignment horizontal="left" vertical="center"/>
    </xf>
    <xf numFmtId="43" fontId="4" fillId="0" borderId="18" xfId="0" applyNumberFormat="1" applyFont="1" applyBorder="1" applyAlignment="1">
      <alignment horizontal="left" vertical="center"/>
    </xf>
    <xf numFmtId="43" fontId="4" fillId="0" borderId="18" xfId="1" applyNumberFormat="1" applyFont="1" applyBorder="1" applyAlignment="1">
      <alignment horizontal="left" vertical="center"/>
    </xf>
    <xf numFmtId="43" fontId="3" fillId="0" borderId="0" xfId="1" applyNumberFormat="1" applyFont="1" applyAlignment="1">
      <alignment horizontal="left" vertical="center"/>
    </xf>
    <xf numFmtId="43" fontId="4" fillId="0" borderId="6" xfId="0" applyNumberFormat="1" applyFont="1" applyBorder="1" applyAlignment="1">
      <alignment horizontal="left" vertical="center"/>
    </xf>
    <xf numFmtId="43" fontId="4" fillId="6" borderId="18" xfId="0" applyNumberFormat="1" applyFont="1" applyFill="1" applyBorder="1" applyAlignment="1">
      <alignment horizontal="left" vertical="center"/>
    </xf>
    <xf numFmtId="43" fontId="4" fillId="0" borderId="8" xfId="0" applyNumberFormat="1" applyFont="1" applyBorder="1" applyAlignment="1">
      <alignment horizontal="left" vertical="center"/>
    </xf>
    <xf numFmtId="43" fontId="3" fillId="3" borderId="18" xfId="0" applyNumberFormat="1" applyFont="1" applyFill="1" applyBorder="1" applyAlignment="1">
      <alignment horizontal="left" vertical="center"/>
    </xf>
    <xf numFmtId="43" fontId="3" fillId="5" borderId="18" xfId="0" applyNumberFormat="1" applyFont="1" applyFill="1" applyBorder="1" applyAlignment="1">
      <alignment horizontal="left" vertical="center"/>
    </xf>
    <xf numFmtId="43" fontId="3" fillId="5" borderId="5" xfId="0" applyNumberFormat="1" applyFont="1" applyFill="1" applyBorder="1" applyAlignment="1">
      <alignment horizontal="left" vertical="center"/>
    </xf>
    <xf numFmtId="43" fontId="3" fillId="5" borderId="27" xfId="0" applyNumberFormat="1" applyFont="1" applyFill="1" applyBorder="1" applyAlignment="1">
      <alignment horizontal="left" vertical="center"/>
    </xf>
    <xf numFmtId="43" fontId="3" fillId="5" borderId="28" xfId="0" applyNumberFormat="1" applyFont="1" applyFill="1" applyBorder="1" applyAlignment="1">
      <alignment horizontal="left" vertical="center"/>
    </xf>
    <xf numFmtId="43" fontId="3" fillId="2" borderId="18" xfId="0" applyNumberFormat="1" applyFont="1" applyFill="1" applyBorder="1" applyAlignment="1">
      <alignment horizontal="left" vertical="center"/>
    </xf>
    <xf numFmtId="43" fontId="3" fillId="3" borderId="29" xfId="0" applyNumberFormat="1" applyFont="1" applyFill="1" applyBorder="1" applyAlignment="1">
      <alignment horizontal="left" vertical="center"/>
    </xf>
    <xf numFmtId="43" fontId="3" fillId="3" borderId="4" xfId="0" applyNumberFormat="1" applyFont="1" applyFill="1" applyBorder="1" applyAlignment="1">
      <alignment horizontal="left" vertical="center"/>
    </xf>
    <xf numFmtId="43" fontId="3" fillId="3" borderId="5" xfId="0" applyNumberFormat="1" applyFont="1" applyFill="1" applyBorder="1" applyAlignment="1">
      <alignment horizontal="left" vertical="center"/>
    </xf>
    <xf numFmtId="43" fontId="3" fillId="3" borderId="12" xfId="0" applyNumberFormat="1" applyFont="1" applyFill="1" applyBorder="1" applyAlignment="1">
      <alignment horizontal="left" vertical="center"/>
    </xf>
    <xf numFmtId="43" fontId="3" fillId="5" borderId="12" xfId="0" applyNumberFormat="1" applyFont="1" applyFill="1" applyBorder="1" applyAlignment="1">
      <alignment horizontal="left" vertical="center"/>
    </xf>
    <xf numFmtId="43" fontId="3" fillId="2" borderId="5" xfId="0" applyNumberFormat="1" applyFont="1" applyFill="1" applyBorder="1" applyAlignment="1">
      <alignment horizontal="left" vertical="center"/>
    </xf>
    <xf numFmtId="43" fontId="3" fillId="5" borderId="6" xfId="0" applyNumberFormat="1" applyFont="1" applyFill="1" applyBorder="1" applyAlignment="1">
      <alignment horizontal="left" vertical="center"/>
    </xf>
    <xf numFmtId="43" fontId="3" fillId="0" borderId="28" xfId="0" applyNumberFormat="1" applyFont="1" applyBorder="1" applyAlignment="1">
      <alignment horizontal="left" vertical="center"/>
    </xf>
    <xf numFmtId="43" fontId="3" fillId="0" borderId="5" xfId="0" applyNumberFormat="1" applyFont="1" applyBorder="1" applyAlignment="1">
      <alignment horizontal="left" vertical="center"/>
    </xf>
    <xf numFmtId="43" fontId="3" fillId="2" borderId="4" xfId="0" applyNumberFormat="1" applyFont="1" applyFill="1" applyBorder="1" applyAlignment="1">
      <alignment horizontal="left" vertical="center"/>
    </xf>
    <xf numFmtId="43" fontId="5" fillId="8" borderId="9" xfId="0" applyNumberFormat="1" applyFont="1" applyFill="1" applyBorder="1" applyAlignment="1">
      <alignment horizontal="left" vertical="center"/>
    </xf>
    <xf numFmtId="43" fontId="2" fillId="0" borderId="10" xfId="0" applyNumberFormat="1" applyFont="1" applyBorder="1" applyAlignment="1">
      <alignment horizontal="left" vertical="center"/>
    </xf>
    <xf numFmtId="43" fontId="2" fillId="0" borderId="11" xfId="0" applyNumberFormat="1" applyFont="1" applyBorder="1" applyAlignment="1">
      <alignment horizontal="left" vertical="center"/>
    </xf>
    <xf numFmtId="43" fontId="4" fillId="3" borderId="25" xfId="0" applyNumberFormat="1" applyFont="1" applyFill="1" applyBorder="1" applyAlignment="1">
      <alignment horizontal="left" vertical="center"/>
    </xf>
    <xf numFmtId="43" fontId="3" fillId="0" borderId="26" xfId="0" applyNumberFormat="1" applyFont="1" applyBorder="1" applyAlignment="1">
      <alignment horizontal="left" vertical="center"/>
    </xf>
    <xf numFmtId="43" fontId="4" fillId="5" borderId="14" xfId="0" applyNumberFormat="1" applyFont="1" applyFill="1" applyBorder="1" applyAlignment="1">
      <alignment horizontal="left" vertical="center"/>
    </xf>
    <xf numFmtId="43" fontId="2" fillId="0" borderId="16" xfId="0" applyNumberFormat="1" applyFont="1" applyBorder="1" applyAlignment="1">
      <alignment horizontal="left" vertical="center"/>
    </xf>
    <xf numFmtId="43" fontId="6" fillId="8" borderId="6" xfId="0" quotePrefix="1" applyNumberFormat="1" applyFont="1" applyFill="1" applyBorder="1" applyAlignment="1">
      <alignment horizontal="left" vertical="center"/>
    </xf>
    <xf numFmtId="43" fontId="4" fillId="0" borderId="6" xfId="0" applyNumberFormat="1" applyFont="1" applyBorder="1" applyAlignment="1">
      <alignment horizontal="left" vertical="center"/>
    </xf>
    <xf numFmtId="43" fontId="3" fillId="8" borderId="6" xfId="0" applyNumberFormat="1" applyFont="1" applyFill="1" applyBorder="1" applyAlignment="1">
      <alignment horizontal="left" vertical="center"/>
    </xf>
    <xf numFmtId="43" fontId="7" fillId="0" borderId="0" xfId="0" applyNumberFormat="1" applyFont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5"/>
  <sheetViews>
    <sheetView tabSelected="1" topLeftCell="A70" workbookViewId="0">
      <selection activeCell="D75" sqref="D75"/>
    </sheetView>
  </sheetViews>
  <sheetFormatPr defaultColWidth="14.42578125" defaultRowHeight="15.75" customHeight="1" x14ac:dyDescent="0.25"/>
  <cols>
    <col min="1" max="1" width="41.140625" style="11" customWidth="1"/>
    <col min="2" max="2" width="14" style="11" customWidth="1"/>
    <col min="3" max="3" width="8.140625" style="11" customWidth="1"/>
    <col min="4" max="4" width="10.140625" style="11" customWidth="1"/>
    <col min="5" max="5" width="11.85546875" style="11" customWidth="1"/>
    <col min="6" max="6" width="7.42578125" style="11" customWidth="1"/>
    <col min="7" max="7" width="14.140625" style="11" customWidth="1"/>
    <col min="8" max="8" width="47.140625" style="11" customWidth="1"/>
    <col min="9" max="9" width="11.5703125" style="11" customWidth="1"/>
    <col min="10" max="11" width="9.28515625" style="11" customWidth="1"/>
    <col min="12" max="12" width="11.140625" style="11" customWidth="1"/>
    <col min="13" max="13" width="6.7109375" style="11" customWidth="1"/>
    <col min="14" max="14" width="14.85546875" style="11" customWidth="1"/>
    <col min="15" max="15" width="33.85546875" style="11" customWidth="1"/>
    <col min="16" max="16" width="7.5703125" style="11" customWidth="1"/>
    <col min="17" max="17" width="9.28515625" style="11" customWidth="1"/>
    <col min="18" max="18" width="10.28515625" style="11" customWidth="1"/>
    <col min="19" max="19" width="10.42578125" style="11" customWidth="1"/>
    <col min="20" max="20" width="6.7109375" style="11" customWidth="1"/>
    <col min="21" max="21" width="15" style="11" customWidth="1"/>
    <col min="22" max="22" width="47.42578125" style="11" customWidth="1"/>
    <col min="23" max="23" width="8.7109375" style="11" customWidth="1"/>
    <col min="24" max="24" width="11.5703125" style="11" customWidth="1"/>
    <col min="25" max="25" width="9.28515625" style="11" customWidth="1"/>
    <col min="26" max="26" width="11.7109375" style="11" customWidth="1"/>
    <col min="27" max="27" width="6.42578125" style="11" customWidth="1"/>
    <col min="28" max="28" width="14.42578125" style="11"/>
    <col min="29" max="29" width="8.7109375" style="11" customWidth="1"/>
    <col min="30" max="16384" width="14.42578125" style="11"/>
  </cols>
  <sheetData>
    <row r="1" spans="1:28" ht="15.7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</row>
    <row r="2" spans="1:28" ht="15.75" customHeight="1" x14ac:dyDescent="0.25">
      <c r="A2" s="12" t="s">
        <v>0</v>
      </c>
      <c r="B2" s="12" t="s">
        <v>1</v>
      </c>
      <c r="C2" s="12" t="s">
        <v>2</v>
      </c>
      <c r="D2" s="13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1</v>
      </c>
      <c r="J2" s="12" t="s">
        <v>2</v>
      </c>
      <c r="K2" s="12" t="s">
        <v>3</v>
      </c>
      <c r="L2" s="12" t="s">
        <v>4</v>
      </c>
      <c r="M2" s="12" t="s">
        <v>5</v>
      </c>
      <c r="N2" s="12" t="s">
        <v>6</v>
      </c>
      <c r="O2" s="12" t="s">
        <v>8</v>
      </c>
      <c r="P2" s="12" t="s">
        <v>1</v>
      </c>
      <c r="Q2" s="12" t="s">
        <v>2</v>
      </c>
      <c r="R2" s="12" t="s">
        <v>3</v>
      </c>
      <c r="S2" s="12" t="s">
        <v>4</v>
      </c>
      <c r="T2" s="12" t="s">
        <v>5</v>
      </c>
      <c r="U2" s="12" t="s">
        <v>6</v>
      </c>
      <c r="V2" s="12" t="s">
        <v>9</v>
      </c>
      <c r="W2" s="12" t="s">
        <v>1</v>
      </c>
      <c r="X2" s="12" t="s">
        <v>2</v>
      </c>
      <c r="Y2" s="12" t="s">
        <v>3</v>
      </c>
      <c r="Z2" s="12" t="s">
        <v>4</v>
      </c>
      <c r="AA2" s="12" t="s">
        <v>5</v>
      </c>
      <c r="AB2" s="12" t="s">
        <v>6</v>
      </c>
    </row>
    <row r="3" spans="1:28" ht="15.75" customHeight="1" x14ac:dyDescent="0.25">
      <c r="A3" s="2" t="s">
        <v>10</v>
      </c>
      <c r="B3" s="1">
        <v>16.3</v>
      </c>
      <c r="C3" s="1" t="s">
        <v>11</v>
      </c>
      <c r="D3" s="14">
        <v>30.59</v>
      </c>
      <c r="E3" s="2">
        <f>B3*D3</f>
        <v>498.61700000000002</v>
      </c>
      <c r="F3" s="2">
        <v>0</v>
      </c>
      <c r="G3" s="2">
        <f t="shared" ref="G3:G5" si="0">PRODUCT(D3,F3)</f>
        <v>0</v>
      </c>
      <c r="H3" s="1" t="s">
        <v>12</v>
      </c>
      <c r="I3" s="1">
        <v>0</v>
      </c>
      <c r="J3" s="1" t="s">
        <v>11</v>
      </c>
      <c r="K3" s="15">
        <v>20</v>
      </c>
      <c r="L3" s="2">
        <f>I3*K3</f>
        <v>0</v>
      </c>
      <c r="M3" s="2">
        <v>0</v>
      </c>
      <c r="N3" s="2">
        <v>0</v>
      </c>
      <c r="O3" s="2" t="s">
        <v>847</v>
      </c>
      <c r="P3" s="1">
        <v>35.5</v>
      </c>
      <c r="Q3" s="16" t="s">
        <v>11</v>
      </c>
      <c r="R3" s="15">
        <v>15</v>
      </c>
      <c r="S3" s="16">
        <f>P3*R3</f>
        <v>532.5</v>
      </c>
      <c r="T3" s="2">
        <v>0</v>
      </c>
      <c r="U3" s="16">
        <f t="shared" ref="U3:U4" si="1">PRODUCT(R3,T3)</f>
        <v>0</v>
      </c>
      <c r="V3" s="2" t="s">
        <v>13</v>
      </c>
      <c r="W3" s="1">
        <v>1</v>
      </c>
      <c r="X3" s="2" t="s">
        <v>14</v>
      </c>
      <c r="Y3" s="15">
        <v>34.9</v>
      </c>
      <c r="Z3" s="16">
        <f>W3*Y3</f>
        <v>34.9</v>
      </c>
      <c r="AA3" s="16">
        <v>0</v>
      </c>
      <c r="AB3" s="2">
        <f t="shared" ref="AB3:AB6" si="2">Y3*AA3</f>
        <v>0</v>
      </c>
    </row>
    <row r="4" spans="1:28" ht="15.75" customHeight="1" x14ac:dyDescent="0.25">
      <c r="A4" s="2" t="s">
        <v>951</v>
      </c>
      <c r="B4" s="1">
        <v>0</v>
      </c>
      <c r="C4" s="1" t="s">
        <v>11</v>
      </c>
      <c r="D4" s="14">
        <v>11.98</v>
      </c>
      <c r="E4" s="2">
        <f t="shared" ref="E4:E32" si="3">B4*D4</f>
        <v>0</v>
      </c>
      <c r="F4" s="2">
        <v>0</v>
      </c>
      <c r="G4" s="2">
        <f t="shared" si="0"/>
        <v>0</v>
      </c>
      <c r="H4" s="1" t="s">
        <v>15</v>
      </c>
      <c r="I4" s="1">
        <v>0</v>
      </c>
      <c r="J4" s="1" t="s">
        <v>14</v>
      </c>
      <c r="K4" s="14">
        <v>7.98</v>
      </c>
      <c r="L4" s="2">
        <f t="shared" ref="L4:L68" si="4">I4*K4</f>
        <v>0</v>
      </c>
      <c r="M4" s="1">
        <v>0</v>
      </c>
      <c r="N4" s="16">
        <f t="shared" ref="N4:N11" si="5">PRODUCT(K4,M4)</f>
        <v>0</v>
      </c>
      <c r="O4" s="2" t="s">
        <v>16</v>
      </c>
      <c r="P4" s="1">
        <v>49.12</v>
      </c>
      <c r="Q4" s="16" t="s">
        <v>11</v>
      </c>
      <c r="R4" s="15">
        <v>13.38</v>
      </c>
      <c r="S4" s="16">
        <f t="shared" ref="S4:S9" si="6">P4*R4</f>
        <v>657.22559999999999</v>
      </c>
      <c r="T4" s="2">
        <v>0</v>
      </c>
      <c r="U4" s="16">
        <f t="shared" si="1"/>
        <v>0</v>
      </c>
      <c r="V4" s="2" t="s">
        <v>17</v>
      </c>
      <c r="W4" s="1">
        <v>5</v>
      </c>
      <c r="X4" s="2" t="s">
        <v>14</v>
      </c>
      <c r="Y4" s="17">
        <v>66.489999999999995</v>
      </c>
      <c r="Z4" s="16">
        <f t="shared" ref="Z4:Z62" si="7">W4*Y4</f>
        <v>332.45</v>
      </c>
      <c r="AA4" s="16">
        <v>0</v>
      </c>
      <c r="AB4" s="2">
        <f t="shared" si="2"/>
        <v>0</v>
      </c>
    </row>
    <row r="5" spans="1:28" ht="15.75" customHeight="1" x14ac:dyDescent="0.25">
      <c r="A5" s="2" t="s">
        <v>952</v>
      </c>
      <c r="B5" s="1">
        <v>13.3</v>
      </c>
      <c r="C5" s="16" t="s">
        <v>11</v>
      </c>
      <c r="D5" s="14">
        <v>69.66</v>
      </c>
      <c r="E5" s="2">
        <f>B5*D5</f>
        <v>926.47799999999995</v>
      </c>
      <c r="F5" s="2">
        <v>0</v>
      </c>
      <c r="G5" s="2">
        <f t="shared" si="0"/>
        <v>0</v>
      </c>
      <c r="H5" s="1" t="s">
        <v>19</v>
      </c>
      <c r="I5" s="1">
        <v>1</v>
      </c>
      <c r="J5" s="1" t="s">
        <v>14</v>
      </c>
      <c r="K5" s="14">
        <v>12.9</v>
      </c>
      <c r="L5" s="2">
        <f t="shared" si="4"/>
        <v>12.9</v>
      </c>
      <c r="M5" s="1">
        <v>0</v>
      </c>
      <c r="N5" s="16">
        <f t="shared" si="5"/>
        <v>0</v>
      </c>
      <c r="O5" s="2" t="s">
        <v>20</v>
      </c>
      <c r="P5" s="1">
        <v>5.5</v>
      </c>
      <c r="Q5" s="16" t="s">
        <v>11</v>
      </c>
      <c r="R5" s="15">
        <v>12.88</v>
      </c>
      <c r="S5" s="16">
        <f t="shared" si="6"/>
        <v>70.84</v>
      </c>
      <c r="T5" s="2">
        <v>0</v>
      </c>
      <c r="U5" s="16">
        <v>0</v>
      </c>
      <c r="V5" s="2" t="s">
        <v>21</v>
      </c>
      <c r="W5" s="1">
        <v>2</v>
      </c>
      <c r="X5" s="2" t="s">
        <v>14</v>
      </c>
      <c r="Y5" s="17">
        <v>42.53</v>
      </c>
      <c r="Z5" s="16">
        <f t="shared" si="7"/>
        <v>85.06</v>
      </c>
      <c r="AA5" s="16">
        <v>0</v>
      </c>
      <c r="AB5" s="2">
        <f t="shared" si="2"/>
        <v>0</v>
      </c>
    </row>
    <row r="6" spans="1:28" ht="15.75" customHeight="1" x14ac:dyDescent="0.25">
      <c r="A6" s="2" t="s">
        <v>22</v>
      </c>
      <c r="B6" s="1">
        <v>0</v>
      </c>
      <c r="C6" s="16" t="s">
        <v>11</v>
      </c>
      <c r="D6" s="14">
        <v>0</v>
      </c>
      <c r="E6" s="2">
        <f t="shared" si="3"/>
        <v>0</v>
      </c>
      <c r="F6" s="2">
        <v>0</v>
      </c>
      <c r="G6" s="2">
        <v>0</v>
      </c>
      <c r="H6" s="2" t="s">
        <v>23</v>
      </c>
      <c r="I6" s="1">
        <v>0</v>
      </c>
      <c r="J6" s="2" t="s">
        <v>11</v>
      </c>
      <c r="K6" s="14">
        <v>5.19</v>
      </c>
      <c r="L6" s="2">
        <f t="shared" si="4"/>
        <v>0</v>
      </c>
      <c r="M6" s="2">
        <v>0</v>
      </c>
      <c r="N6" s="16">
        <f t="shared" si="5"/>
        <v>0</v>
      </c>
      <c r="O6" s="16" t="s">
        <v>24</v>
      </c>
      <c r="P6" s="1">
        <v>50</v>
      </c>
      <c r="Q6" s="16" t="s">
        <v>11</v>
      </c>
      <c r="R6" s="15">
        <v>7</v>
      </c>
      <c r="S6" s="16">
        <f t="shared" si="6"/>
        <v>350</v>
      </c>
      <c r="T6" s="2">
        <v>0</v>
      </c>
      <c r="U6" s="16">
        <f t="shared" ref="U6:U9" si="8">PRODUCT(R6,T6)</f>
        <v>0</v>
      </c>
      <c r="V6" s="2" t="s">
        <v>25</v>
      </c>
      <c r="W6" s="1">
        <v>0</v>
      </c>
      <c r="X6" s="2" t="s">
        <v>26</v>
      </c>
      <c r="Y6" s="17">
        <v>85.09</v>
      </c>
      <c r="Z6" s="16">
        <f t="shared" si="7"/>
        <v>0</v>
      </c>
      <c r="AA6" s="16">
        <v>0</v>
      </c>
      <c r="AB6" s="2">
        <f t="shared" si="2"/>
        <v>0</v>
      </c>
    </row>
    <row r="7" spans="1:28" ht="15.75" customHeight="1" x14ac:dyDescent="0.25">
      <c r="A7" s="2" t="s">
        <v>27</v>
      </c>
      <c r="B7" s="1">
        <v>20.45</v>
      </c>
      <c r="C7" s="16" t="s">
        <v>11</v>
      </c>
      <c r="D7" s="14">
        <v>15.52</v>
      </c>
      <c r="E7" s="2">
        <f>B7*D7</f>
        <v>317.38399999999996</v>
      </c>
      <c r="F7" s="2">
        <v>0</v>
      </c>
      <c r="G7" s="2">
        <f t="shared" ref="G7:G11" si="9">PRODUCT(D7,F7)</f>
        <v>0</v>
      </c>
      <c r="H7" s="2" t="s">
        <v>28</v>
      </c>
      <c r="I7" s="1">
        <v>17</v>
      </c>
      <c r="J7" s="2" t="s">
        <v>11</v>
      </c>
      <c r="K7" s="14">
        <v>3.35</v>
      </c>
      <c r="L7" s="2">
        <f t="shared" si="4"/>
        <v>56.95</v>
      </c>
      <c r="M7" s="2">
        <v>0</v>
      </c>
      <c r="N7" s="16">
        <f t="shared" si="5"/>
        <v>0</v>
      </c>
      <c r="O7" s="16"/>
      <c r="P7" s="1">
        <v>0</v>
      </c>
      <c r="Q7" s="16" t="s">
        <v>11</v>
      </c>
      <c r="R7" s="15">
        <v>0</v>
      </c>
      <c r="S7" s="16">
        <f t="shared" si="6"/>
        <v>0</v>
      </c>
      <c r="T7" s="2">
        <v>0</v>
      </c>
      <c r="U7" s="16">
        <f t="shared" si="8"/>
        <v>0</v>
      </c>
      <c r="V7" s="2" t="s">
        <v>29</v>
      </c>
      <c r="W7" s="1">
        <v>2</v>
      </c>
      <c r="X7" s="2" t="s">
        <v>26</v>
      </c>
      <c r="Y7" s="17">
        <v>98.9</v>
      </c>
      <c r="Z7" s="16">
        <f t="shared" si="7"/>
        <v>197.8</v>
      </c>
      <c r="AA7" s="16">
        <v>0</v>
      </c>
      <c r="AB7" s="2">
        <v>0</v>
      </c>
    </row>
    <row r="8" spans="1:28" ht="15.75" customHeight="1" x14ac:dyDescent="0.25">
      <c r="A8" s="2" t="s">
        <v>30</v>
      </c>
      <c r="B8" s="1">
        <v>15</v>
      </c>
      <c r="C8" s="16" t="s">
        <v>11</v>
      </c>
      <c r="D8" s="14">
        <v>47.9</v>
      </c>
      <c r="E8" s="2">
        <f t="shared" si="3"/>
        <v>718.5</v>
      </c>
      <c r="F8" s="2">
        <v>0</v>
      </c>
      <c r="G8" s="2">
        <f t="shared" si="9"/>
        <v>0</v>
      </c>
      <c r="H8" s="2" t="s">
        <v>31</v>
      </c>
      <c r="I8" s="1">
        <v>1</v>
      </c>
      <c r="J8" s="2" t="s">
        <v>26</v>
      </c>
      <c r="K8" s="14">
        <v>17.29</v>
      </c>
      <c r="L8" s="2">
        <f t="shared" si="4"/>
        <v>17.29</v>
      </c>
      <c r="M8" s="2">
        <v>0</v>
      </c>
      <c r="N8" s="16">
        <f t="shared" si="5"/>
        <v>0</v>
      </c>
      <c r="O8" s="16" t="s">
        <v>32</v>
      </c>
      <c r="P8" s="1">
        <v>31</v>
      </c>
      <c r="Q8" s="16" t="s">
        <v>14</v>
      </c>
      <c r="R8" s="15">
        <v>10</v>
      </c>
      <c r="S8" s="16">
        <f t="shared" si="6"/>
        <v>310</v>
      </c>
      <c r="T8" s="2">
        <v>0</v>
      </c>
      <c r="U8" s="16">
        <f t="shared" si="8"/>
        <v>0</v>
      </c>
      <c r="V8" s="2" t="s">
        <v>33</v>
      </c>
      <c r="W8" s="1">
        <v>8</v>
      </c>
      <c r="X8" s="2" t="s">
        <v>76</v>
      </c>
      <c r="Y8" s="17">
        <v>13.64</v>
      </c>
      <c r="Z8" s="16">
        <f t="shared" si="7"/>
        <v>109.12</v>
      </c>
      <c r="AA8" s="16">
        <v>0</v>
      </c>
      <c r="AB8" s="2">
        <f t="shared" ref="AB8:AB19" si="10">Y8*AA8</f>
        <v>0</v>
      </c>
    </row>
    <row r="9" spans="1:28" ht="15.75" customHeight="1" x14ac:dyDescent="0.25">
      <c r="A9" s="2" t="s">
        <v>34</v>
      </c>
      <c r="B9" s="1">
        <v>0</v>
      </c>
      <c r="C9" s="16" t="s">
        <v>11</v>
      </c>
      <c r="D9" s="14">
        <v>13.8</v>
      </c>
      <c r="E9" s="2">
        <f t="shared" si="3"/>
        <v>0</v>
      </c>
      <c r="F9" s="2">
        <v>0</v>
      </c>
      <c r="G9" s="2">
        <f t="shared" si="9"/>
        <v>0</v>
      </c>
      <c r="H9" s="2" t="s">
        <v>35</v>
      </c>
      <c r="I9" s="1">
        <v>3</v>
      </c>
      <c r="J9" s="2" t="s">
        <v>26</v>
      </c>
      <c r="K9" s="14">
        <v>74.05</v>
      </c>
      <c r="L9" s="2">
        <f t="shared" si="4"/>
        <v>222.14999999999998</v>
      </c>
      <c r="M9" s="2">
        <v>0</v>
      </c>
      <c r="N9" s="16">
        <f t="shared" si="5"/>
        <v>0</v>
      </c>
      <c r="O9" s="16" t="s">
        <v>36</v>
      </c>
      <c r="P9" s="1">
        <v>15</v>
      </c>
      <c r="Q9" s="16" t="s">
        <v>14</v>
      </c>
      <c r="R9" s="15">
        <v>10</v>
      </c>
      <c r="S9" s="16">
        <f t="shared" si="6"/>
        <v>150</v>
      </c>
      <c r="T9" s="2">
        <v>0</v>
      </c>
      <c r="U9" s="16">
        <f t="shared" si="8"/>
        <v>0</v>
      </c>
      <c r="V9" s="2" t="s">
        <v>860</v>
      </c>
      <c r="W9" s="1">
        <v>1</v>
      </c>
      <c r="X9" s="2" t="s">
        <v>14</v>
      </c>
      <c r="Y9" s="17">
        <v>29.9</v>
      </c>
      <c r="Z9" s="16">
        <f t="shared" si="7"/>
        <v>29.9</v>
      </c>
      <c r="AA9" s="16">
        <v>0</v>
      </c>
      <c r="AB9" s="2">
        <f t="shared" si="10"/>
        <v>0</v>
      </c>
    </row>
    <row r="10" spans="1:28" ht="15.75" customHeight="1" x14ac:dyDescent="0.25">
      <c r="A10" s="2" t="s">
        <v>37</v>
      </c>
      <c r="B10" s="1">
        <v>15.35</v>
      </c>
      <c r="C10" s="16" t="s">
        <v>11</v>
      </c>
      <c r="D10" s="14">
        <v>35.950000000000003</v>
      </c>
      <c r="E10" s="2">
        <f t="shared" si="3"/>
        <v>551.83249999999998</v>
      </c>
      <c r="F10" s="2">
        <v>0</v>
      </c>
      <c r="G10" s="2">
        <f t="shared" si="9"/>
        <v>0</v>
      </c>
      <c r="H10" s="2" t="s">
        <v>38</v>
      </c>
      <c r="I10" s="1">
        <v>0</v>
      </c>
      <c r="J10" s="2" t="s">
        <v>11</v>
      </c>
      <c r="K10" s="14">
        <v>7</v>
      </c>
      <c r="L10" s="2">
        <f t="shared" si="4"/>
        <v>0</v>
      </c>
      <c r="M10" s="2">
        <v>0</v>
      </c>
      <c r="N10" s="16">
        <f t="shared" si="5"/>
        <v>0</v>
      </c>
      <c r="O10" s="18"/>
      <c r="P10" s="19"/>
      <c r="Q10" s="19"/>
      <c r="R10" s="19"/>
      <c r="S10" s="19"/>
      <c r="T10" s="19"/>
      <c r="U10" s="20"/>
      <c r="V10" s="2" t="s">
        <v>913</v>
      </c>
      <c r="W10" s="1">
        <v>0</v>
      </c>
      <c r="X10" s="2" t="s">
        <v>14</v>
      </c>
      <c r="Y10" s="17">
        <v>9.1999999999999993</v>
      </c>
      <c r="Z10" s="16">
        <f t="shared" si="7"/>
        <v>0</v>
      </c>
      <c r="AA10" s="16">
        <v>0</v>
      </c>
      <c r="AB10" s="2">
        <f t="shared" si="10"/>
        <v>0</v>
      </c>
    </row>
    <row r="11" spans="1:28" ht="15.75" customHeight="1" x14ac:dyDescent="0.25">
      <c r="A11" s="2" t="s">
        <v>39</v>
      </c>
      <c r="B11" s="1">
        <v>0</v>
      </c>
      <c r="C11" s="2" t="s">
        <v>11</v>
      </c>
      <c r="D11" s="14">
        <v>0</v>
      </c>
      <c r="E11" s="2">
        <f t="shared" si="3"/>
        <v>0</v>
      </c>
      <c r="F11" s="2">
        <v>0</v>
      </c>
      <c r="G11" s="2">
        <f t="shared" si="9"/>
        <v>0</v>
      </c>
      <c r="H11" s="2" t="s">
        <v>40</v>
      </c>
      <c r="I11" s="1">
        <v>55</v>
      </c>
      <c r="J11" s="2" t="s">
        <v>11</v>
      </c>
      <c r="K11" s="14">
        <v>3.92</v>
      </c>
      <c r="L11" s="2">
        <f t="shared" si="4"/>
        <v>215.6</v>
      </c>
      <c r="M11" s="2">
        <v>0</v>
      </c>
      <c r="N11" s="16">
        <f t="shared" si="5"/>
        <v>0</v>
      </c>
      <c r="O11" s="21" t="s">
        <v>41</v>
      </c>
      <c r="P11" s="22"/>
      <c r="Q11" s="22"/>
      <c r="R11" s="23"/>
      <c r="S11" s="24">
        <f>SUM(S3:S9)</f>
        <v>2070.5655999999999</v>
      </c>
      <c r="T11" s="25"/>
      <c r="U11" s="24">
        <f>SUM(U4:U6)</f>
        <v>0</v>
      </c>
      <c r="V11" s="2" t="s">
        <v>42</v>
      </c>
      <c r="W11" s="1">
        <v>1</v>
      </c>
      <c r="X11" s="2" t="s">
        <v>26</v>
      </c>
      <c r="Y11" s="17">
        <v>170.9</v>
      </c>
      <c r="Z11" s="16">
        <f t="shared" si="7"/>
        <v>170.9</v>
      </c>
      <c r="AA11" s="16">
        <v>0</v>
      </c>
      <c r="AB11" s="2">
        <f t="shared" si="10"/>
        <v>0</v>
      </c>
    </row>
    <row r="12" spans="1:28" ht="15.75" customHeight="1" x14ac:dyDescent="0.25">
      <c r="A12" s="2" t="s">
        <v>906</v>
      </c>
      <c r="B12" s="1">
        <v>0</v>
      </c>
      <c r="C12" s="16" t="s">
        <v>11</v>
      </c>
      <c r="D12" s="14">
        <v>13.64</v>
      </c>
      <c r="E12" s="2">
        <f t="shared" si="3"/>
        <v>0</v>
      </c>
      <c r="F12" s="2">
        <v>0</v>
      </c>
      <c r="G12" s="2">
        <v>0</v>
      </c>
      <c r="H12" s="2" t="s">
        <v>44</v>
      </c>
      <c r="I12" s="1">
        <v>8</v>
      </c>
      <c r="J12" s="2" t="s">
        <v>14</v>
      </c>
      <c r="K12" s="14">
        <v>12.28</v>
      </c>
      <c r="L12" s="2">
        <f t="shared" si="4"/>
        <v>98.24</v>
      </c>
      <c r="M12" s="2">
        <v>0</v>
      </c>
      <c r="N12" s="16">
        <f t="shared" ref="N12:N29" si="11">PRODUCT(K12,M12)</f>
        <v>0</v>
      </c>
      <c r="O12" s="26"/>
      <c r="P12" s="27"/>
      <c r="Q12" s="27"/>
      <c r="R12" s="27"/>
      <c r="S12" s="27"/>
      <c r="T12" s="27"/>
      <c r="U12" s="28"/>
      <c r="V12" s="2" t="s">
        <v>45</v>
      </c>
      <c r="W12" s="1">
        <v>0</v>
      </c>
      <c r="X12" s="2" t="s">
        <v>14</v>
      </c>
      <c r="Y12" s="17">
        <v>13.3</v>
      </c>
      <c r="Z12" s="16">
        <f t="shared" si="7"/>
        <v>0</v>
      </c>
      <c r="AA12" s="16">
        <v>0</v>
      </c>
      <c r="AB12" s="2">
        <f t="shared" si="10"/>
        <v>0</v>
      </c>
    </row>
    <row r="13" spans="1:28" ht="15.75" customHeight="1" x14ac:dyDescent="0.25">
      <c r="A13" s="2" t="s">
        <v>950</v>
      </c>
      <c r="B13" s="1">
        <v>1.08</v>
      </c>
      <c r="C13" s="16" t="s">
        <v>11</v>
      </c>
      <c r="D13" s="14">
        <v>13.9</v>
      </c>
      <c r="E13" s="2">
        <f>B13*D13</f>
        <v>15.012000000000002</v>
      </c>
      <c r="F13" s="2">
        <v>0</v>
      </c>
      <c r="G13" s="2">
        <f t="shared" ref="G13:G16" si="12">PRODUCT(D13,F13)</f>
        <v>0</v>
      </c>
      <c r="H13" s="2" t="s">
        <v>46</v>
      </c>
      <c r="I13" s="1">
        <v>1</v>
      </c>
      <c r="J13" s="2" t="s">
        <v>14</v>
      </c>
      <c r="K13" s="14">
        <v>197.9</v>
      </c>
      <c r="L13" s="2">
        <f t="shared" si="4"/>
        <v>197.9</v>
      </c>
      <c r="M13" s="2">
        <v>0</v>
      </c>
      <c r="N13" s="16">
        <f t="shared" si="11"/>
        <v>0</v>
      </c>
      <c r="O13" s="12" t="s">
        <v>47</v>
      </c>
      <c r="P13" s="12" t="s">
        <v>1</v>
      </c>
      <c r="Q13" s="12" t="s">
        <v>2</v>
      </c>
      <c r="R13" s="12" t="s">
        <v>3</v>
      </c>
      <c r="S13" s="12" t="s">
        <v>4</v>
      </c>
      <c r="T13" s="12" t="s">
        <v>5</v>
      </c>
      <c r="U13" s="12" t="s">
        <v>6</v>
      </c>
      <c r="V13" s="2" t="s">
        <v>48</v>
      </c>
      <c r="W13" s="1">
        <v>0</v>
      </c>
      <c r="X13" s="2" t="s">
        <v>14</v>
      </c>
      <c r="Y13" s="17">
        <v>0</v>
      </c>
      <c r="Z13" s="16">
        <f t="shared" si="7"/>
        <v>0</v>
      </c>
      <c r="AA13" s="2">
        <v>0</v>
      </c>
      <c r="AB13" s="2">
        <f t="shared" si="10"/>
        <v>0</v>
      </c>
    </row>
    <row r="14" spans="1:28" ht="15.75" customHeight="1" x14ac:dyDescent="0.25">
      <c r="A14" s="2" t="s">
        <v>501</v>
      </c>
      <c r="B14" s="1">
        <v>11.5</v>
      </c>
      <c r="C14" s="16" t="s">
        <v>11</v>
      </c>
      <c r="D14" s="14">
        <v>47.87</v>
      </c>
      <c r="E14" s="2">
        <f t="shared" si="3"/>
        <v>550.505</v>
      </c>
      <c r="F14" s="2">
        <v>0</v>
      </c>
      <c r="G14" s="2">
        <f t="shared" si="12"/>
        <v>0</v>
      </c>
      <c r="H14" s="2" t="s">
        <v>49</v>
      </c>
      <c r="I14" s="1">
        <v>0</v>
      </c>
      <c r="J14" s="2" t="s">
        <v>26</v>
      </c>
      <c r="K14" s="14">
        <v>49.5</v>
      </c>
      <c r="L14" s="2">
        <f t="shared" si="4"/>
        <v>0</v>
      </c>
      <c r="M14" s="2">
        <v>0</v>
      </c>
      <c r="N14" s="16">
        <f t="shared" si="11"/>
        <v>0</v>
      </c>
      <c r="O14" s="16" t="s">
        <v>50</v>
      </c>
      <c r="P14" s="1">
        <v>0</v>
      </c>
      <c r="Q14" s="16" t="s">
        <v>11</v>
      </c>
      <c r="R14" s="15">
        <v>68.209999999999994</v>
      </c>
      <c r="S14" s="16">
        <f t="shared" ref="S14:S43" si="13">P14*R14</f>
        <v>0</v>
      </c>
      <c r="T14" s="2">
        <v>0</v>
      </c>
      <c r="U14" s="2">
        <f t="shared" ref="U14:U17" si="14">PRODUCT(R14,T14)</f>
        <v>0</v>
      </c>
      <c r="V14" s="2" t="s">
        <v>51</v>
      </c>
      <c r="W14" s="1">
        <v>0</v>
      </c>
      <c r="X14" s="2" t="s">
        <v>14</v>
      </c>
      <c r="Y14" s="17">
        <v>0</v>
      </c>
      <c r="Z14" s="16">
        <f t="shared" si="7"/>
        <v>0</v>
      </c>
      <c r="AA14" s="2">
        <v>0</v>
      </c>
      <c r="AB14" s="2">
        <f t="shared" si="10"/>
        <v>0</v>
      </c>
    </row>
    <row r="15" spans="1:28" ht="15.75" customHeight="1" x14ac:dyDescent="0.25">
      <c r="A15" s="2" t="s">
        <v>52</v>
      </c>
      <c r="B15" s="1">
        <v>10</v>
      </c>
      <c r="C15" s="16" t="s">
        <v>11</v>
      </c>
      <c r="D15" s="14">
        <v>17.38</v>
      </c>
      <c r="E15" s="2">
        <f>B15*D15</f>
        <v>173.79999999999998</v>
      </c>
      <c r="F15" s="2">
        <v>0</v>
      </c>
      <c r="G15" s="2">
        <f t="shared" si="12"/>
        <v>0</v>
      </c>
      <c r="H15" s="2" t="s">
        <v>53</v>
      </c>
      <c r="I15" s="1">
        <v>17</v>
      </c>
      <c r="J15" s="2" t="s">
        <v>14</v>
      </c>
      <c r="K15" s="14">
        <v>26.49</v>
      </c>
      <c r="L15" s="2">
        <f t="shared" si="4"/>
        <v>450.33</v>
      </c>
      <c r="M15" s="2">
        <v>0</v>
      </c>
      <c r="N15" s="16">
        <f t="shared" si="11"/>
        <v>0</v>
      </c>
      <c r="O15" s="2" t="s">
        <v>54</v>
      </c>
      <c r="P15" s="1">
        <v>0</v>
      </c>
      <c r="Q15" s="2" t="s">
        <v>11</v>
      </c>
      <c r="R15" s="14">
        <v>0</v>
      </c>
      <c r="S15" s="16">
        <f t="shared" si="13"/>
        <v>0</v>
      </c>
      <c r="T15" s="2">
        <v>0</v>
      </c>
      <c r="U15" s="2">
        <f t="shared" si="14"/>
        <v>0</v>
      </c>
      <c r="V15" s="2" t="s">
        <v>944</v>
      </c>
      <c r="W15" s="1">
        <v>0</v>
      </c>
      <c r="X15" s="2" t="s">
        <v>76</v>
      </c>
      <c r="Y15" s="17">
        <v>0</v>
      </c>
      <c r="Z15" s="16">
        <f t="shared" si="7"/>
        <v>0</v>
      </c>
      <c r="AA15" s="16">
        <v>0</v>
      </c>
      <c r="AB15" s="2">
        <f t="shared" si="10"/>
        <v>0</v>
      </c>
    </row>
    <row r="16" spans="1:28" ht="15.75" customHeight="1" x14ac:dyDescent="0.25">
      <c r="A16" s="2" t="s">
        <v>56</v>
      </c>
      <c r="B16" s="1">
        <v>29.85</v>
      </c>
      <c r="C16" s="16" t="s">
        <v>11</v>
      </c>
      <c r="D16" s="14">
        <v>7.42</v>
      </c>
      <c r="E16" s="2">
        <f t="shared" si="3"/>
        <v>221.48699999999999</v>
      </c>
      <c r="F16" s="2">
        <v>0</v>
      </c>
      <c r="G16" s="2">
        <f t="shared" si="12"/>
        <v>0</v>
      </c>
      <c r="H16" s="2" t="s">
        <v>57</v>
      </c>
      <c r="I16" s="1">
        <v>2</v>
      </c>
      <c r="J16" s="2" t="s">
        <v>14</v>
      </c>
      <c r="K16" s="14">
        <v>56.9</v>
      </c>
      <c r="L16" s="2">
        <f t="shared" si="4"/>
        <v>113.8</v>
      </c>
      <c r="M16" s="2">
        <v>0</v>
      </c>
      <c r="N16" s="16">
        <f t="shared" si="11"/>
        <v>0</v>
      </c>
      <c r="O16" s="2" t="s">
        <v>58</v>
      </c>
      <c r="P16" s="1">
        <v>0</v>
      </c>
      <c r="Q16" s="2" t="s">
        <v>11</v>
      </c>
      <c r="R16" s="14">
        <v>0</v>
      </c>
      <c r="S16" s="16">
        <f t="shared" si="13"/>
        <v>0</v>
      </c>
      <c r="T16" s="2">
        <v>0</v>
      </c>
      <c r="U16" s="2">
        <f t="shared" si="14"/>
        <v>0</v>
      </c>
      <c r="V16" s="2" t="s">
        <v>59</v>
      </c>
      <c r="W16" s="1">
        <v>0</v>
      </c>
      <c r="X16" s="2" t="s">
        <v>14</v>
      </c>
      <c r="Y16" s="17">
        <v>19</v>
      </c>
      <c r="Z16" s="16">
        <f t="shared" si="7"/>
        <v>0</v>
      </c>
      <c r="AA16" s="16">
        <v>0</v>
      </c>
      <c r="AB16" s="2">
        <f t="shared" si="10"/>
        <v>0</v>
      </c>
    </row>
    <row r="17" spans="1:28" ht="15.75" customHeight="1" x14ac:dyDescent="0.25">
      <c r="A17" s="2" t="s">
        <v>915</v>
      </c>
      <c r="B17" s="1">
        <v>0</v>
      </c>
      <c r="C17" s="16" t="s">
        <v>11</v>
      </c>
      <c r="D17" s="14">
        <v>36.590000000000003</v>
      </c>
      <c r="E17" s="2">
        <f t="shared" si="3"/>
        <v>0</v>
      </c>
      <c r="F17" s="2">
        <v>0</v>
      </c>
      <c r="G17" s="2">
        <v>0</v>
      </c>
      <c r="H17" s="2" t="s">
        <v>60</v>
      </c>
      <c r="I17" s="1">
        <v>0</v>
      </c>
      <c r="J17" s="2" t="s">
        <v>11</v>
      </c>
      <c r="K17" s="14">
        <v>25.45</v>
      </c>
      <c r="L17" s="2">
        <f t="shared" si="4"/>
        <v>0</v>
      </c>
      <c r="M17" s="2">
        <v>0</v>
      </c>
      <c r="N17" s="16">
        <f t="shared" si="11"/>
        <v>0</v>
      </c>
      <c r="O17" s="16" t="s">
        <v>61</v>
      </c>
      <c r="P17" s="1">
        <v>0</v>
      </c>
      <c r="Q17" s="16" t="s">
        <v>11</v>
      </c>
      <c r="R17" s="14">
        <v>20</v>
      </c>
      <c r="S17" s="16">
        <f t="shared" si="13"/>
        <v>0</v>
      </c>
      <c r="T17" s="16">
        <v>0</v>
      </c>
      <c r="U17" s="2">
        <f t="shared" si="14"/>
        <v>0</v>
      </c>
      <c r="V17" s="2" t="s">
        <v>62</v>
      </c>
      <c r="W17" s="1">
        <v>0</v>
      </c>
      <c r="X17" s="2" t="s">
        <v>14</v>
      </c>
      <c r="Y17" s="17">
        <v>25</v>
      </c>
      <c r="Z17" s="16">
        <f t="shared" si="7"/>
        <v>0</v>
      </c>
      <c r="AA17" s="16">
        <v>0</v>
      </c>
      <c r="AB17" s="2">
        <f t="shared" si="10"/>
        <v>0</v>
      </c>
    </row>
    <row r="18" spans="1:28" ht="15.75" customHeight="1" x14ac:dyDescent="0.25">
      <c r="A18" s="2" t="s">
        <v>63</v>
      </c>
      <c r="B18" s="1">
        <v>3.55</v>
      </c>
      <c r="C18" s="16" t="s">
        <v>11</v>
      </c>
      <c r="D18" s="14">
        <v>20.71</v>
      </c>
      <c r="E18" s="2">
        <f>B18*D18</f>
        <v>73.520499999999998</v>
      </c>
      <c r="F18" s="2">
        <v>0</v>
      </c>
      <c r="G18" s="2">
        <f t="shared" ref="G18:G25" si="15">PRODUCT(D18,F18)</f>
        <v>0</v>
      </c>
      <c r="H18" s="2" t="s">
        <v>64</v>
      </c>
      <c r="I18" s="1">
        <v>1</v>
      </c>
      <c r="J18" s="2" t="s">
        <v>11</v>
      </c>
      <c r="K18" s="14">
        <v>57.11</v>
      </c>
      <c r="L18" s="2">
        <f t="shared" si="4"/>
        <v>57.11</v>
      </c>
      <c r="M18" s="2">
        <v>0</v>
      </c>
      <c r="N18" s="16">
        <f t="shared" si="11"/>
        <v>0</v>
      </c>
      <c r="O18" s="16" t="s">
        <v>65</v>
      </c>
      <c r="P18" s="1">
        <v>0</v>
      </c>
      <c r="Q18" s="16" t="s">
        <v>11</v>
      </c>
      <c r="R18" s="14">
        <v>36.5</v>
      </c>
      <c r="S18" s="16">
        <f t="shared" si="13"/>
        <v>0</v>
      </c>
      <c r="T18" s="16">
        <v>0</v>
      </c>
      <c r="U18" s="2">
        <v>0</v>
      </c>
      <c r="V18" s="2" t="s">
        <v>66</v>
      </c>
      <c r="W18" s="1">
        <v>0</v>
      </c>
      <c r="X18" s="2" t="s">
        <v>14</v>
      </c>
      <c r="Y18" s="17">
        <v>70</v>
      </c>
      <c r="Z18" s="16">
        <f t="shared" si="7"/>
        <v>0</v>
      </c>
      <c r="AA18" s="16">
        <v>0</v>
      </c>
      <c r="AB18" s="2">
        <f t="shared" si="10"/>
        <v>0</v>
      </c>
    </row>
    <row r="19" spans="1:28" ht="15.75" customHeight="1" x14ac:dyDescent="0.25">
      <c r="A19" s="2" t="s">
        <v>67</v>
      </c>
      <c r="B19" s="1">
        <v>0</v>
      </c>
      <c r="C19" s="16" t="s">
        <v>11</v>
      </c>
      <c r="D19" s="14">
        <v>9.76</v>
      </c>
      <c r="E19" s="2">
        <f t="shared" si="3"/>
        <v>0</v>
      </c>
      <c r="F19" s="2">
        <v>0</v>
      </c>
      <c r="G19" s="2">
        <f t="shared" si="15"/>
        <v>0</v>
      </c>
      <c r="H19" s="2" t="s">
        <v>940</v>
      </c>
      <c r="I19" s="1">
        <v>0</v>
      </c>
      <c r="J19" s="2" t="s">
        <v>11</v>
      </c>
      <c r="K19" s="14">
        <v>38.49</v>
      </c>
      <c r="L19" s="2">
        <f t="shared" si="4"/>
        <v>0</v>
      </c>
      <c r="M19" s="2">
        <v>0</v>
      </c>
      <c r="N19" s="16">
        <f t="shared" si="11"/>
        <v>0</v>
      </c>
      <c r="O19" s="16" t="s">
        <v>68</v>
      </c>
      <c r="P19" s="1">
        <v>13</v>
      </c>
      <c r="Q19" s="16" t="s">
        <v>14</v>
      </c>
      <c r="R19" s="14">
        <v>12.89</v>
      </c>
      <c r="S19" s="16">
        <f t="shared" si="13"/>
        <v>167.57</v>
      </c>
      <c r="T19" s="16">
        <v>0</v>
      </c>
      <c r="U19" s="2">
        <f t="shared" ref="U19:U43" si="16">PRODUCT(R19,T19)</f>
        <v>0</v>
      </c>
      <c r="V19" s="2" t="s">
        <v>69</v>
      </c>
      <c r="W19" s="1">
        <v>0</v>
      </c>
      <c r="X19" s="2" t="s">
        <v>14</v>
      </c>
      <c r="Y19" s="17">
        <v>38</v>
      </c>
      <c r="Z19" s="16">
        <f t="shared" si="7"/>
        <v>0</v>
      </c>
      <c r="AA19" s="16">
        <v>0</v>
      </c>
      <c r="AB19" s="2">
        <f t="shared" si="10"/>
        <v>0</v>
      </c>
    </row>
    <row r="20" spans="1:28" ht="15.75" customHeight="1" x14ac:dyDescent="0.25">
      <c r="A20" s="2" t="s">
        <v>70</v>
      </c>
      <c r="B20" s="1">
        <v>0</v>
      </c>
      <c r="C20" s="16" t="s">
        <v>11</v>
      </c>
      <c r="D20" s="14">
        <v>8.43</v>
      </c>
      <c r="E20" s="2">
        <f t="shared" si="3"/>
        <v>0</v>
      </c>
      <c r="F20" s="2">
        <v>0</v>
      </c>
      <c r="G20" s="2">
        <f t="shared" si="15"/>
        <v>0</v>
      </c>
      <c r="H20" s="2" t="s">
        <v>885</v>
      </c>
      <c r="I20" s="1">
        <v>129</v>
      </c>
      <c r="J20" s="2" t="s">
        <v>11</v>
      </c>
      <c r="K20" s="14">
        <v>2.35</v>
      </c>
      <c r="L20" s="2">
        <f t="shared" si="4"/>
        <v>303.15000000000003</v>
      </c>
      <c r="M20" s="2">
        <v>0</v>
      </c>
      <c r="N20" s="16">
        <f t="shared" si="11"/>
        <v>0</v>
      </c>
      <c r="O20" s="2" t="s">
        <v>71</v>
      </c>
      <c r="P20" s="1">
        <v>15</v>
      </c>
      <c r="Q20" s="2" t="s">
        <v>14</v>
      </c>
      <c r="R20" s="14">
        <v>5.7</v>
      </c>
      <c r="S20" s="16">
        <f t="shared" si="13"/>
        <v>85.5</v>
      </c>
      <c r="T20" s="2">
        <v>0</v>
      </c>
      <c r="U20" s="2">
        <f t="shared" si="16"/>
        <v>0</v>
      </c>
      <c r="V20" s="2" t="s">
        <v>72</v>
      </c>
      <c r="W20" s="1">
        <v>0</v>
      </c>
      <c r="X20" s="2" t="s">
        <v>14</v>
      </c>
      <c r="Y20" s="17">
        <v>43.6</v>
      </c>
      <c r="Z20" s="16">
        <f t="shared" si="7"/>
        <v>0</v>
      </c>
      <c r="AA20" s="16">
        <v>0</v>
      </c>
      <c r="AB20" s="2">
        <v>0</v>
      </c>
    </row>
    <row r="21" spans="1:28" ht="15.75" customHeight="1" x14ac:dyDescent="0.25">
      <c r="A21" s="2" t="s">
        <v>73</v>
      </c>
      <c r="B21" s="1">
        <v>0</v>
      </c>
      <c r="C21" s="2" t="s">
        <v>11</v>
      </c>
      <c r="D21" s="14">
        <v>0</v>
      </c>
      <c r="E21" s="2">
        <f t="shared" si="3"/>
        <v>0</v>
      </c>
      <c r="F21" s="2">
        <v>0</v>
      </c>
      <c r="G21" s="2">
        <f t="shared" si="15"/>
        <v>0</v>
      </c>
      <c r="H21" s="2" t="s">
        <v>564</v>
      </c>
      <c r="I21" s="1">
        <v>3</v>
      </c>
      <c r="J21" s="2" t="s">
        <v>11</v>
      </c>
      <c r="K21" s="14">
        <v>9.59</v>
      </c>
      <c r="L21" s="2">
        <f t="shared" si="4"/>
        <v>28.77</v>
      </c>
      <c r="M21" s="2">
        <v>0</v>
      </c>
      <c r="N21" s="16">
        <f t="shared" si="11"/>
        <v>0</v>
      </c>
      <c r="O21" s="2" t="s">
        <v>74</v>
      </c>
      <c r="P21" s="1">
        <v>7</v>
      </c>
      <c r="Q21" s="2" t="s">
        <v>14</v>
      </c>
      <c r="R21" s="14">
        <v>19.63</v>
      </c>
      <c r="S21" s="16">
        <f t="shared" si="13"/>
        <v>137.41</v>
      </c>
      <c r="T21" s="16">
        <v>0</v>
      </c>
      <c r="U21" s="2">
        <f t="shared" si="16"/>
        <v>0</v>
      </c>
      <c r="V21" s="2" t="s">
        <v>75</v>
      </c>
      <c r="W21" s="1">
        <v>11</v>
      </c>
      <c r="X21" s="2" t="s">
        <v>76</v>
      </c>
      <c r="Y21" s="17">
        <v>5.2</v>
      </c>
      <c r="Z21" s="16">
        <f t="shared" si="7"/>
        <v>57.2</v>
      </c>
      <c r="AA21" s="16">
        <v>0</v>
      </c>
      <c r="AB21" s="2">
        <f t="shared" ref="AB21:AB43" si="17">Y21*AA21</f>
        <v>0</v>
      </c>
    </row>
    <row r="22" spans="1:28" ht="15.75" customHeight="1" x14ac:dyDescent="0.25">
      <c r="A22" s="2" t="s">
        <v>77</v>
      </c>
      <c r="B22" s="1">
        <v>11.35</v>
      </c>
      <c r="C22" s="16" t="s">
        <v>11</v>
      </c>
      <c r="D22" s="14">
        <v>8.83</v>
      </c>
      <c r="E22" s="2">
        <f t="shared" si="3"/>
        <v>100.2205</v>
      </c>
      <c r="F22" s="2">
        <v>0</v>
      </c>
      <c r="G22" s="2">
        <f t="shared" si="15"/>
        <v>0</v>
      </c>
      <c r="H22" s="2" t="s">
        <v>78</v>
      </c>
      <c r="I22" s="1">
        <v>3.75</v>
      </c>
      <c r="J22" s="2" t="s">
        <v>11</v>
      </c>
      <c r="K22" s="14">
        <v>9.59</v>
      </c>
      <c r="L22" s="2">
        <f t="shared" si="4"/>
        <v>35.962499999999999</v>
      </c>
      <c r="M22" s="2">
        <v>0</v>
      </c>
      <c r="N22" s="16">
        <f t="shared" si="11"/>
        <v>0</v>
      </c>
      <c r="O22" s="29" t="s">
        <v>79</v>
      </c>
      <c r="P22" s="1">
        <v>9</v>
      </c>
      <c r="Q22" s="16" t="s">
        <v>14</v>
      </c>
      <c r="R22" s="14">
        <v>5.69</v>
      </c>
      <c r="S22" s="16">
        <f t="shared" si="13"/>
        <v>51.21</v>
      </c>
      <c r="T22" s="2">
        <v>0</v>
      </c>
      <c r="U22" s="2">
        <f t="shared" si="16"/>
        <v>0</v>
      </c>
      <c r="V22" s="2" t="s">
        <v>80</v>
      </c>
      <c r="W22" s="1">
        <v>0</v>
      </c>
      <c r="X22" s="2" t="s">
        <v>14</v>
      </c>
      <c r="Y22" s="17">
        <v>162</v>
      </c>
      <c r="Z22" s="16">
        <f t="shared" si="7"/>
        <v>0</v>
      </c>
      <c r="AA22" s="16">
        <v>0</v>
      </c>
      <c r="AB22" s="2">
        <f t="shared" si="17"/>
        <v>0</v>
      </c>
    </row>
    <row r="23" spans="1:28" ht="15.75" customHeight="1" x14ac:dyDescent="0.25">
      <c r="A23" s="2" t="s">
        <v>81</v>
      </c>
      <c r="B23" s="1">
        <v>0</v>
      </c>
      <c r="C23" s="16" t="s">
        <v>11</v>
      </c>
      <c r="D23" s="14">
        <v>5.5</v>
      </c>
      <c r="E23" s="2">
        <f t="shared" si="3"/>
        <v>0</v>
      </c>
      <c r="F23" s="2">
        <v>0</v>
      </c>
      <c r="G23" s="2">
        <f t="shared" si="15"/>
        <v>0</v>
      </c>
      <c r="H23" s="2" t="s">
        <v>82</v>
      </c>
      <c r="I23" s="1">
        <v>11</v>
      </c>
      <c r="J23" s="2" t="s">
        <v>14</v>
      </c>
      <c r="K23" s="14">
        <v>21.98</v>
      </c>
      <c r="L23" s="2">
        <f t="shared" si="4"/>
        <v>241.78</v>
      </c>
      <c r="M23" s="2">
        <v>0</v>
      </c>
      <c r="N23" s="16">
        <f t="shared" si="11"/>
        <v>0</v>
      </c>
      <c r="O23" s="16" t="s">
        <v>83</v>
      </c>
      <c r="P23" s="1">
        <v>0</v>
      </c>
      <c r="Q23" s="16" t="s">
        <v>11</v>
      </c>
      <c r="R23" s="14">
        <v>11.12</v>
      </c>
      <c r="S23" s="16">
        <f t="shared" si="13"/>
        <v>0</v>
      </c>
      <c r="T23" s="16">
        <v>0</v>
      </c>
      <c r="U23" s="2">
        <f t="shared" si="16"/>
        <v>0</v>
      </c>
      <c r="V23" s="2" t="s">
        <v>84</v>
      </c>
      <c r="W23" s="1">
        <v>0</v>
      </c>
      <c r="X23" s="2" t="s">
        <v>14</v>
      </c>
      <c r="Y23" s="17">
        <v>0.60513888000000005</v>
      </c>
      <c r="Z23" s="16">
        <f t="shared" si="7"/>
        <v>0</v>
      </c>
      <c r="AA23" s="16">
        <v>0</v>
      </c>
      <c r="AB23" s="2">
        <f t="shared" si="17"/>
        <v>0</v>
      </c>
    </row>
    <row r="24" spans="1:28" ht="15.75" customHeight="1" x14ac:dyDescent="0.25">
      <c r="A24" s="2" t="s">
        <v>85</v>
      </c>
      <c r="B24" s="1">
        <v>0</v>
      </c>
      <c r="C24" s="16" t="s">
        <v>11</v>
      </c>
      <c r="D24" s="14">
        <v>31.79</v>
      </c>
      <c r="E24" s="2">
        <f t="shared" si="3"/>
        <v>0</v>
      </c>
      <c r="F24" s="2">
        <v>0</v>
      </c>
      <c r="G24" s="2">
        <f t="shared" si="15"/>
        <v>0</v>
      </c>
      <c r="H24" s="2" t="s">
        <v>917</v>
      </c>
      <c r="I24" s="1">
        <v>0</v>
      </c>
      <c r="J24" s="2" t="s">
        <v>11</v>
      </c>
      <c r="K24" s="14">
        <v>45</v>
      </c>
      <c r="L24" s="2">
        <f t="shared" si="4"/>
        <v>0</v>
      </c>
      <c r="M24" s="2">
        <v>0</v>
      </c>
      <c r="N24" s="16">
        <f t="shared" si="11"/>
        <v>0</v>
      </c>
      <c r="O24" s="16" t="s">
        <v>86</v>
      </c>
      <c r="P24" s="1">
        <v>0</v>
      </c>
      <c r="Q24" s="16" t="s">
        <v>11</v>
      </c>
      <c r="R24" s="14">
        <v>28</v>
      </c>
      <c r="S24" s="16">
        <f t="shared" si="13"/>
        <v>0</v>
      </c>
      <c r="T24" s="2">
        <v>0</v>
      </c>
      <c r="U24" s="2">
        <f t="shared" si="16"/>
        <v>0</v>
      </c>
      <c r="V24" s="2" t="s">
        <v>87</v>
      </c>
      <c r="W24" s="1">
        <v>0</v>
      </c>
      <c r="X24" s="2" t="s">
        <v>26</v>
      </c>
      <c r="Y24" s="17">
        <v>75.31</v>
      </c>
      <c r="Z24" s="16">
        <f t="shared" si="7"/>
        <v>0</v>
      </c>
      <c r="AA24" s="16">
        <v>0</v>
      </c>
      <c r="AB24" s="2">
        <f t="shared" si="17"/>
        <v>0</v>
      </c>
    </row>
    <row r="25" spans="1:28" ht="15.75" customHeight="1" x14ac:dyDescent="0.25">
      <c r="A25" s="2" t="s">
        <v>88</v>
      </c>
      <c r="B25" s="1">
        <v>4.3</v>
      </c>
      <c r="C25" s="16" t="s">
        <v>11</v>
      </c>
      <c r="D25" s="14">
        <v>17.649999999999999</v>
      </c>
      <c r="E25" s="2">
        <f t="shared" si="3"/>
        <v>75.894999999999996</v>
      </c>
      <c r="F25" s="2">
        <v>0</v>
      </c>
      <c r="G25" s="2">
        <f t="shared" si="15"/>
        <v>0</v>
      </c>
      <c r="H25" s="2" t="s">
        <v>89</v>
      </c>
      <c r="I25" s="1">
        <v>3</v>
      </c>
      <c r="J25" s="2" t="s">
        <v>11</v>
      </c>
      <c r="K25" s="14">
        <v>25.42</v>
      </c>
      <c r="L25" s="2">
        <f t="shared" si="4"/>
        <v>76.260000000000005</v>
      </c>
      <c r="M25" s="2">
        <v>0</v>
      </c>
      <c r="N25" s="16">
        <f t="shared" si="11"/>
        <v>0</v>
      </c>
      <c r="O25" s="16" t="s">
        <v>90</v>
      </c>
      <c r="P25" s="1">
        <v>0</v>
      </c>
      <c r="Q25" s="16" t="s">
        <v>11</v>
      </c>
      <c r="R25" s="14">
        <v>32.4</v>
      </c>
      <c r="S25" s="16">
        <f t="shared" si="13"/>
        <v>0</v>
      </c>
      <c r="T25" s="2">
        <v>0</v>
      </c>
      <c r="U25" s="2">
        <f t="shared" si="16"/>
        <v>0</v>
      </c>
      <c r="V25" s="2" t="s">
        <v>91</v>
      </c>
      <c r="W25" s="1">
        <v>3</v>
      </c>
      <c r="X25" s="2" t="s">
        <v>76</v>
      </c>
      <c r="Y25" s="17">
        <v>34.68</v>
      </c>
      <c r="Z25" s="16">
        <f t="shared" si="7"/>
        <v>104.03999999999999</v>
      </c>
      <c r="AA25" s="2">
        <v>0</v>
      </c>
      <c r="AB25" s="2">
        <f t="shared" si="17"/>
        <v>0</v>
      </c>
    </row>
    <row r="26" spans="1:28" ht="15.75" customHeight="1" x14ac:dyDescent="0.25">
      <c r="A26" s="2" t="s">
        <v>544</v>
      </c>
      <c r="B26" s="1">
        <v>0</v>
      </c>
      <c r="C26" s="16" t="s">
        <v>11</v>
      </c>
      <c r="D26" s="14">
        <v>7.88</v>
      </c>
      <c r="E26" s="2">
        <f t="shared" si="3"/>
        <v>0</v>
      </c>
      <c r="F26" s="2">
        <v>0</v>
      </c>
      <c r="G26" s="2">
        <f t="shared" ref="G26:G32" si="18">PRODUCT(D26,F26)</f>
        <v>0</v>
      </c>
      <c r="H26" s="2" t="s">
        <v>92</v>
      </c>
      <c r="I26" s="1">
        <v>2</v>
      </c>
      <c r="J26" s="2" t="s">
        <v>11</v>
      </c>
      <c r="K26" s="14">
        <v>5.9</v>
      </c>
      <c r="L26" s="2">
        <f t="shared" si="4"/>
        <v>11.8</v>
      </c>
      <c r="M26" s="2">
        <v>0</v>
      </c>
      <c r="N26" s="16">
        <f t="shared" si="11"/>
        <v>0</v>
      </c>
      <c r="O26" s="16" t="s">
        <v>93</v>
      </c>
      <c r="P26" s="1">
        <v>0</v>
      </c>
      <c r="Q26" s="16" t="s">
        <v>11</v>
      </c>
      <c r="R26" s="14">
        <v>24</v>
      </c>
      <c r="S26" s="16">
        <f t="shared" si="13"/>
        <v>0</v>
      </c>
      <c r="T26" s="16">
        <v>0</v>
      </c>
      <c r="U26" s="2">
        <f t="shared" si="16"/>
        <v>0</v>
      </c>
      <c r="V26" s="2" t="s">
        <v>94</v>
      </c>
      <c r="W26" s="1">
        <v>0</v>
      </c>
      <c r="X26" s="2" t="s">
        <v>14</v>
      </c>
      <c r="Y26" s="17">
        <v>0.81</v>
      </c>
      <c r="Z26" s="16">
        <f t="shared" si="7"/>
        <v>0</v>
      </c>
      <c r="AA26" s="16">
        <v>0</v>
      </c>
      <c r="AB26" s="2">
        <f t="shared" si="17"/>
        <v>0</v>
      </c>
    </row>
    <row r="27" spans="1:28" ht="15.75" customHeight="1" x14ac:dyDescent="0.25">
      <c r="A27" s="2" t="s">
        <v>898</v>
      </c>
      <c r="B27" s="1">
        <v>0</v>
      </c>
      <c r="C27" s="16" t="s">
        <v>11</v>
      </c>
      <c r="D27" s="14">
        <v>26.86</v>
      </c>
      <c r="E27" s="2">
        <f t="shared" si="3"/>
        <v>0</v>
      </c>
      <c r="F27" s="2">
        <v>0</v>
      </c>
      <c r="G27" s="2">
        <f t="shared" si="18"/>
        <v>0</v>
      </c>
      <c r="H27" s="2" t="s">
        <v>95</v>
      </c>
      <c r="I27" s="1">
        <v>2</v>
      </c>
      <c r="J27" s="2" t="s">
        <v>11</v>
      </c>
      <c r="K27" s="14">
        <v>23.99</v>
      </c>
      <c r="L27" s="2">
        <f t="shared" si="4"/>
        <v>47.98</v>
      </c>
      <c r="M27" s="2">
        <v>0</v>
      </c>
      <c r="N27" s="16">
        <f t="shared" si="11"/>
        <v>0</v>
      </c>
      <c r="O27" s="16" t="s">
        <v>96</v>
      </c>
      <c r="P27" s="1">
        <v>16</v>
      </c>
      <c r="Q27" s="16" t="s">
        <v>11</v>
      </c>
      <c r="R27" s="14">
        <v>7.98</v>
      </c>
      <c r="S27" s="16">
        <f t="shared" si="13"/>
        <v>127.68</v>
      </c>
      <c r="T27" s="2">
        <v>0</v>
      </c>
      <c r="U27" s="2">
        <f t="shared" si="16"/>
        <v>0</v>
      </c>
      <c r="V27" s="2" t="s">
        <v>97</v>
      </c>
      <c r="W27" s="1">
        <v>0</v>
      </c>
      <c r="X27" s="2" t="s">
        <v>26</v>
      </c>
      <c r="Y27" s="17">
        <v>167</v>
      </c>
      <c r="Z27" s="16">
        <f t="shared" si="7"/>
        <v>0</v>
      </c>
      <c r="AA27" s="16">
        <v>0</v>
      </c>
      <c r="AB27" s="2">
        <f t="shared" si="17"/>
        <v>0</v>
      </c>
    </row>
    <row r="28" spans="1:28" ht="15.75" customHeight="1" x14ac:dyDescent="0.25">
      <c r="A28" s="30" t="s">
        <v>98</v>
      </c>
      <c r="B28" s="1">
        <v>5.75</v>
      </c>
      <c r="C28" s="16" t="s">
        <v>11</v>
      </c>
      <c r="D28" s="14">
        <v>9.6999999999999993</v>
      </c>
      <c r="E28" s="2">
        <f t="shared" si="3"/>
        <v>55.774999999999999</v>
      </c>
      <c r="F28" s="2">
        <v>0</v>
      </c>
      <c r="G28" s="2">
        <f t="shared" si="18"/>
        <v>0</v>
      </c>
      <c r="H28" s="2" t="s">
        <v>99</v>
      </c>
      <c r="I28" s="1">
        <v>19</v>
      </c>
      <c r="J28" s="2" t="s">
        <v>11</v>
      </c>
      <c r="K28" s="14">
        <v>5.37</v>
      </c>
      <c r="L28" s="2">
        <f t="shared" si="4"/>
        <v>102.03</v>
      </c>
      <c r="M28" s="2">
        <v>0</v>
      </c>
      <c r="N28" s="16">
        <f t="shared" si="11"/>
        <v>0</v>
      </c>
      <c r="O28" s="16" t="s">
        <v>100</v>
      </c>
      <c r="P28" s="1">
        <v>0</v>
      </c>
      <c r="Q28" s="16" t="s">
        <v>11</v>
      </c>
      <c r="R28" s="14">
        <v>33.979999999999997</v>
      </c>
      <c r="S28" s="16">
        <f t="shared" si="13"/>
        <v>0</v>
      </c>
      <c r="T28" s="2">
        <v>0</v>
      </c>
      <c r="U28" s="2">
        <f t="shared" si="16"/>
        <v>0</v>
      </c>
      <c r="V28" s="2" t="s">
        <v>101</v>
      </c>
      <c r="W28" s="1">
        <v>1</v>
      </c>
      <c r="X28" s="2" t="s">
        <v>14</v>
      </c>
      <c r="Y28" s="17">
        <v>28.2</v>
      </c>
      <c r="Z28" s="16">
        <f t="shared" si="7"/>
        <v>28.2</v>
      </c>
      <c r="AA28" s="16">
        <v>0</v>
      </c>
      <c r="AB28" s="2">
        <f t="shared" si="17"/>
        <v>0</v>
      </c>
    </row>
    <row r="29" spans="1:28" ht="15.75" customHeight="1" x14ac:dyDescent="0.25">
      <c r="A29" s="2" t="s">
        <v>102</v>
      </c>
      <c r="B29" s="1">
        <v>18.7</v>
      </c>
      <c r="C29" s="16" t="s">
        <v>11</v>
      </c>
      <c r="D29" s="14">
        <v>12.84</v>
      </c>
      <c r="E29" s="2">
        <f t="shared" si="3"/>
        <v>240.10799999999998</v>
      </c>
      <c r="F29" s="2">
        <v>0</v>
      </c>
      <c r="G29" s="2">
        <f t="shared" si="18"/>
        <v>0</v>
      </c>
      <c r="H29" s="2" t="s">
        <v>103</v>
      </c>
      <c r="I29" s="1">
        <v>27</v>
      </c>
      <c r="J29" s="2" t="s">
        <v>11</v>
      </c>
      <c r="K29" s="14">
        <v>16.2</v>
      </c>
      <c r="L29" s="2">
        <f>I29*K29</f>
        <v>437.4</v>
      </c>
      <c r="M29" s="2">
        <v>0</v>
      </c>
      <c r="N29" s="16">
        <f t="shared" si="11"/>
        <v>0</v>
      </c>
      <c r="O29" s="2" t="s">
        <v>104</v>
      </c>
      <c r="P29" s="1">
        <v>0</v>
      </c>
      <c r="Q29" s="2" t="s">
        <v>11</v>
      </c>
      <c r="R29" s="14">
        <v>33.979999999999997</v>
      </c>
      <c r="S29" s="16">
        <f t="shared" si="13"/>
        <v>0</v>
      </c>
      <c r="T29" s="2">
        <v>0</v>
      </c>
      <c r="U29" s="2">
        <f t="shared" si="16"/>
        <v>0</v>
      </c>
      <c r="V29" s="2" t="s">
        <v>105</v>
      </c>
      <c r="W29" s="1">
        <v>0</v>
      </c>
      <c r="X29" s="2" t="s">
        <v>14</v>
      </c>
      <c r="Y29" s="17">
        <v>76.2</v>
      </c>
      <c r="Z29" s="16">
        <f t="shared" si="7"/>
        <v>0</v>
      </c>
      <c r="AA29" s="16">
        <v>0</v>
      </c>
      <c r="AB29" s="2">
        <f t="shared" si="17"/>
        <v>0</v>
      </c>
    </row>
    <row r="30" spans="1:28" ht="15.75" customHeight="1" x14ac:dyDescent="0.25">
      <c r="A30" s="2" t="s">
        <v>925</v>
      </c>
      <c r="B30" s="1">
        <v>0</v>
      </c>
      <c r="C30" s="2" t="s">
        <v>11</v>
      </c>
      <c r="D30" s="14">
        <v>18.899999999999999</v>
      </c>
      <c r="E30" s="2">
        <f t="shared" si="3"/>
        <v>0</v>
      </c>
      <c r="F30" s="2">
        <v>0</v>
      </c>
      <c r="G30" s="2">
        <f t="shared" si="18"/>
        <v>0</v>
      </c>
      <c r="H30" s="2" t="s">
        <v>106</v>
      </c>
      <c r="I30" s="1">
        <v>0</v>
      </c>
      <c r="J30" s="2" t="s">
        <v>11</v>
      </c>
      <c r="K30" s="14">
        <v>4.0999999999999996</v>
      </c>
      <c r="L30" s="2">
        <f t="shared" si="4"/>
        <v>0</v>
      </c>
      <c r="M30" s="2">
        <v>0</v>
      </c>
      <c r="N30" s="16">
        <v>0</v>
      </c>
      <c r="O30" s="16" t="s">
        <v>107</v>
      </c>
      <c r="P30" s="1">
        <v>10.62</v>
      </c>
      <c r="Q30" s="16" t="s">
        <v>11</v>
      </c>
      <c r="R30" s="14">
        <v>33.979999999999997</v>
      </c>
      <c r="S30" s="16">
        <f t="shared" si="13"/>
        <v>360.86759999999992</v>
      </c>
      <c r="T30" s="16">
        <v>0</v>
      </c>
      <c r="U30" s="2">
        <f t="shared" si="16"/>
        <v>0</v>
      </c>
      <c r="V30" s="2" t="s">
        <v>108</v>
      </c>
      <c r="W30" s="1">
        <v>0</v>
      </c>
      <c r="X30" s="2" t="s">
        <v>14</v>
      </c>
      <c r="Y30" s="17">
        <v>4.2300000000000004</v>
      </c>
      <c r="Z30" s="16">
        <f t="shared" si="7"/>
        <v>0</v>
      </c>
      <c r="AA30" s="16">
        <v>0</v>
      </c>
      <c r="AB30" s="2">
        <f t="shared" si="17"/>
        <v>0</v>
      </c>
    </row>
    <row r="31" spans="1:28" ht="15.75" customHeight="1" x14ac:dyDescent="0.25">
      <c r="A31" s="31" t="s">
        <v>109</v>
      </c>
      <c r="B31" s="1">
        <v>26</v>
      </c>
      <c r="C31" s="16" t="s">
        <v>11</v>
      </c>
      <c r="D31" s="14">
        <v>17.95</v>
      </c>
      <c r="E31" s="2">
        <f t="shared" si="3"/>
        <v>466.7</v>
      </c>
      <c r="F31" s="2">
        <v>0</v>
      </c>
      <c r="G31" s="2">
        <f t="shared" si="18"/>
        <v>0</v>
      </c>
      <c r="H31" s="2" t="s">
        <v>110</v>
      </c>
      <c r="I31" s="1">
        <v>1</v>
      </c>
      <c r="J31" s="2" t="s">
        <v>11</v>
      </c>
      <c r="K31" s="14">
        <v>7.7</v>
      </c>
      <c r="L31" s="2">
        <f t="shared" si="4"/>
        <v>7.7</v>
      </c>
      <c r="M31" s="2">
        <v>0</v>
      </c>
      <c r="N31" s="16">
        <f t="shared" ref="N31:N34" si="19">PRODUCT(K31,M31)</f>
        <v>0</v>
      </c>
      <c r="O31" s="16" t="s">
        <v>111</v>
      </c>
      <c r="P31" s="1">
        <v>4</v>
      </c>
      <c r="Q31" s="16" t="s">
        <v>11</v>
      </c>
      <c r="R31" s="14">
        <v>45.5</v>
      </c>
      <c r="S31" s="16">
        <f>P31*R31</f>
        <v>182</v>
      </c>
      <c r="T31" s="2">
        <v>0</v>
      </c>
      <c r="U31" s="2">
        <f t="shared" si="16"/>
        <v>0</v>
      </c>
      <c r="V31" s="2" t="s">
        <v>112</v>
      </c>
      <c r="W31" s="1">
        <v>27</v>
      </c>
      <c r="X31" s="2" t="s">
        <v>14</v>
      </c>
      <c r="Y31" s="17">
        <v>13.45</v>
      </c>
      <c r="Z31" s="16">
        <f t="shared" si="7"/>
        <v>363.15</v>
      </c>
      <c r="AA31" s="16">
        <v>0</v>
      </c>
      <c r="AB31" s="2">
        <f t="shared" si="17"/>
        <v>0</v>
      </c>
    </row>
    <row r="32" spans="1:28" ht="15.75" customHeight="1" x14ac:dyDescent="0.25">
      <c r="A32" s="32" t="s">
        <v>113</v>
      </c>
      <c r="B32" s="1">
        <v>0</v>
      </c>
      <c r="C32" s="16" t="s">
        <v>11</v>
      </c>
      <c r="D32" s="14">
        <v>16.45</v>
      </c>
      <c r="E32" s="2">
        <f t="shared" si="3"/>
        <v>0</v>
      </c>
      <c r="F32" s="2">
        <v>0</v>
      </c>
      <c r="G32" s="2">
        <f t="shared" si="18"/>
        <v>0</v>
      </c>
      <c r="H32" s="2" t="s">
        <v>114</v>
      </c>
      <c r="I32" s="1">
        <v>19</v>
      </c>
      <c r="J32" s="2" t="s">
        <v>11</v>
      </c>
      <c r="K32" s="14">
        <v>4.0999999999999996</v>
      </c>
      <c r="L32" s="2">
        <f t="shared" si="4"/>
        <v>77.899999999999991</v>
      </c>
      <c r="M32" s="2">
        <v>0</v>
      </c>
      <c r="N32" s="16">
        <f t="shared" si="19"/>
        <v>0</v>
      </c>
      <c r="O32" s="16" t="s">
        <v>115</v>
      </c>
      <c r="P32" s="1">
        <v>3.5</v>
      </c>
      <c r="Q32" s="16" t="s">
        <v>11</v>
      </c>
      <c r="R32" s="14">
        <v>19.5</v>
      </c>
      <c r="S32" s="16">
        <f t="shared" si="13"/>
        <v>68.25</v>
      </c>
      <c r="T32" s="16">
        <v>0</v>
      </c>
      <c r="U32" s="2">
        <f t="shared" si="16"/>
        <v>0</v>
      </c>
      <c r="V32" s="2" t="s">
        <v>116</v>
      </c>
      <c r="W32" s="1">
        <v>0</v>
      </c>
      <c r="X32" s="2" t="s">
        <v>26</v>
      </c>
      <c r="Y32" s="17">
        <v>99</v>
      </c>
      <c r="Z32" s="16">
        <f t="shared" si="7"/>
        <v>0</v>
      </c>
      <c r="AA32" s="16">
        <v>0</v>
      </c>
      <c r="AB32" s="2">
        <f t="shared" si="17"/>
        <v>0</v>
      </c>
    </row>
    <row r="33" spans="1:28" ht="15.75" customHeight="1" x14ac:dyDescent="0.25">
      <c r="A33" s="18"/>
      <c r="B33" s="19"/>
      <c r="C33" s="19"/>
      <c r="D33" s="19"/>
      <c r="E33" s="19"/>
      <c r="F33" s="19"/>
      <c r="G33" s="20"/>
      <c r="H33" s="2" t="s">
        <v>117</v>
      </c>
      <c r="I33" s="1">
        <v>0</v>
      </c>
      <c r="J33" s="2" t="s">
        <v>11</v>
      </c>
      <c r="K33" s="14">
        <v>10.99</v>
      </c>
      <c r="L33" s="2">
        <f t="shared" si="4"/>
        <v>0</v>
      </c>
      <c r="M33" s="2">
        <v>0</v>
      </c>
      <c r="N33" s="16">
        <f t="shared" si="19"/>
        <v>0</v>
      </c>
      <c r="O33" s="16" t="s">
        <v>118</v>
      </c>
      <c r="P33" s="1">
        <v>5.33</v>
      </c>
      <c r="Q33" s="16" t="s">
        <v>11</v>
      </c>
      <c r="R33" s="14">
        <v>42</v>
      </c>
      <c r="S33" s="16">
        <f t="shared" si="13"/>
        <v>223.86</v>
      </c>
      <c r="T33" s="16">
        <v>0</v>
      </c>
      <c r="U33" s="2">
        <f t="shared" si="16"/>
        <v>0</v>
      </c>
      <c r="V33" s="2" t="s">
        <v>119</v>
      </c>
      <c r="W33" s="1">
        <v>0</v>
      </c>
      <c r="X33" s="2" t="s">
        <v>120</v>
      </c>
      <c r="Y33" s="17">
        <v>110.85</v>
      </c>
      <c r="Z33" s="16">
        <f t="shared" si="7"/>
        <v>0</v>
      </c>
      <c r="AA33" s="16">
        <v>0</v>
      </c>
      <c r="AB33" s="2">
        <f t="shared" si="17"/>
        <v>0</v>
      </c>
    </row>
    <row r="34" spans="1:28" ht="15.75" customHeight="1" x14ac:dyDescent="0.25">
      <c r="A34" s="33"/>
      <c r="B34" s="19"/>
      <c r="C34" s="19"/>
      <c r="D34" s="20"/>
      <c r="E34" s="34">
        <f>SUM(E3:E32)</f>
        <v>4985.8345000000008</v>
      </c>
      <c r="F34" s="16"/>
      <c r="G34" s="34">
        <f>SUM(G7:G32)</f>
        <v>0</v>
      </c>
      <c r="H34" s="2" t="s">
        <v>121</v>
      </c>
      <c r="I34" s="1">
        <v>3</v>
      </c>
      <c r="J34" s="2" t="s">
        <v>11</v>
      </c>
      <c r="K34" s="14">
        <v>6.98</v>
      </c>
      <c r="L34" s="2">
        <f t="shared" si="4"/>
        <v>20.94</v>
      </c>
      <c r="M34" s="2">
        <v>0</v>
      </c>
      <c r="N34" s="16">
        <f t="shared" si="19"/>
        <v>0</v>
      </c>
      <c r="O34" s="2" t="s">
        <v>122</v>
      </c>
      <c r="P34" s="1">
        <v>0</v>
      </c>
      <c r="Q34" s="2" t="s">
        <v>11</v>
      </c>
      <c r="R34" s="14">
        <v>0</v>
      </c>
      <c r="S34" s="16">
        <f t="shared" si="13"/>
        <v>0</v>
      </c>
      <c r="T34" s="2">
        <v>0</v>
      </c>
      <c r="U34" s="2">
        <f t="shared" si="16"/>
        <v>0</v>
      </c>
      <c r="V34" s="2" t="s">
        <v>123</v>
      </c>
      <c r="W34" s="1">
        <v>2</v>
      </c>
      <c r="X34" s="2" t="s">
        <v>26</v>
      </c>
      <c r="Y34" s="17">
        <v>108.9</v>
      </c>
      <c r="Z34" s="16">
        <f t="shared" si="7"/>
        <v>217.8</v>
      </c>
      <c r="AA34" s="16">
        <v>0</v>
      </c>
      <c r="AB34" s="2">
        <f t="shared" si="17"/>
        <v>0</v>
      </c>
    </row>
    <row r="35" spans="1:28" ht="15.75" customHeight="1" x14ac:dyDescent="0.25">
      <c r="A35" s="18"/>
      <c r="B35" s="19"/>
      <c r="C35" s="19"/>
      <c r="D35" s="19"/>
      <c r="E35" s="19"/>
      <c r="F35" s="19"/>
      <c r="G35" s="20"/>
      <c r="H35" s="2" t="s">
        <v>124</v>
      </c>
      <c r="I35" s="1">
        <v>2</v>
      </c>
      <c r="J35" s="2" t="s">
        <v>11</v>
      </c>
      <c r="K35" s="14">
        <v>8.69</v>
      </c>
      <c r="L35" s="2">
        <f t="shared" si="4"/>
        <v>17.38</v>
      </c>
      <c r="M35" s="2">
        <v>0</v>
      </c>
      <c r="N35" s="16">
        <v>0</v>
      </c>
      <c r="O35" s="16" t="s">
        <v>125</v>
      </c>
      <c r="P35" s="1">
        <v>5.6</v>
      </c>
      <c r="Q35" s="16" t="s">
        <v>11</v>
      </c>
      <c r="R35" s="14">
        <v>36.5</v>
      </c>
      <c r="S35" s="16">
        <f>P35*R35</f>
        <v>204.39999999999998</v>
      </c>
      <c r="T35" s="16">
        <v>0</v>
      </c>
      <c r="U35" s="2">
        <f t="shared" si="16"/>
        <v>0</v>
      </c>
      <c r="V35" s="2" t="s">
        <v>126</v>
      </c>
      <c r="W35" s="1">
        <v>0</v>
      </c>
      <c r="X35" s="2" t="s">
        <v>76</v>
      </c>
      <c r="Y35" s="17">
        <v>36.450000000000003</v>
      </c>
      <c r="Z35" s="16">
        <f t="shared" si="7"/>
        <v>0</v>
      </c>
      <c r="AA35" s="16">
        <v>0</v>
      </c>
      <c r="AB35" s="2">
        <f t="shared" si="17"/>
        <v>0</v>
      </c>
    </row>
    <row r="36" spans="1:28" ht="15.75" customHeight="1" x14ac:dyDescent="0.25">
      <c r="A36" s="12" t="s">
        <v>127</v>
      </c>
      <c r="B36" s="12" t="s">
        <v>1</v>
      </c>
      <c r="C36" s="12" t="s">
        <v>2</v>
      </c>
      <c r="D36" s="13" t="s">
        <v>3</v>
      </c>
      <c r="E36" s="12" t="s">
        <v>4</v>
      </c>
      <c r="F36" s="12" t="s">
        <v>5</v>
      </c>
      <c r="G36" s="12" t="s">
        <v>128</v>
      </c>
      <c r="H36" s="2" t="s">
        <v>129</v>
      </c>
      <c r="I36" s="1">
        <v>19</v>
      </c>
      <c r="J36" s="2" t="s">
        <v>11</v>
      </c>
      <c r="K36" s="14">
        <v>5.89</v>
      </c>
      <c r="L36" s="2">
        <f t="shared" si="4"/>
        <v>111.91</v>
      </c>
      <c r="M36" s="2">
        <v>0</v>
      </c>
      <c r="N36" s="16">
        <f>PRODUCT(K36,M36)</f>
        <v>0</v>
      </c>
      <c r="O36" s="2" t="s">
        <v>130</v>
      </c>
      <c r="P36" s="1">
        <v>0</v>
      </c>
      <c r="Q36" s="2" t="s">
        <v>11</v>
      </c>
      <c r="R36" s="14">
        <v>45.5</v>
      </c>
      <c r="S36" s="16">
        <f t="shared" si="13"/>
        <v>0</v>
      </c>
      <c r="T36" s="16">
        <v>0</v>
      </c>
      <c r="U36" s="2">
        <f t="shared" si="16"/>
        <v>0</v>
      </c>
      <c r="V36" s="2" t="s">
        <v>934</v>
      </c>
      <c r="W36" s="1">
        <v>4</v>
      </c>
      <c r="X36" s="2" t="s">
        <v>26</v>
      </c>
      <c r="Y36" s="17">
        <v>26.5</v>
      </c>
      <c r="Z36" s="16">
        <f>W36*Y36</f>
        <v>106</v>
      </c>
      <c r="AA36" s="16">
        <v>0</v>
      </c>
      <c r="AB36" s="2">
        <f t="shared" si="17"/>
        <v>0</v>
      </c>
    </row>
    <row r="37" spans="1:28" ht="15.75" customHeight="1" x14ac:dyDescent="0.25">
      <c r="A37" s="2" t="s">
        <v>131</v>
      </c>
      <c r="B37" s="1">
        <v>0</v>
      </c>
      <c r="C37" s="2" t="s">
        <v>11</v>
      </c>
      <c r="D37" s="2">
        <v>7.38</v>
      </c>
      <c r="E37" s="2">
        <f t="shared" ref="E37:E38" si="20">B37*D37</f>
        <v>0</v>
      </c>
      <c r="F37" s="2">
        <v>0</v>
      </c>
      <c r="G37" s="2">
        <f t="shared" ref="G37:G38" si="21">D37*F37</f>
        <v>0</v>
      </c>
      <c r="H37" s="2" t="s">
        <v>132</v>
      </c>
      <c r="I37" s="1">
        <v>0</v>
      </c>
      <c r="J37" s="2" t="s">
        <v>11</v>
      </c>
      <c r="K37" s="14">
        <v>3.5</v>
      </c>
      <c r="L37" s="2">
        <f t="shared" si="4"/>
        <v>0</v>
      </c>
      <c r="M37" s="2">
        <v>0</v>
      </c>
      <c r="N37" s="16">
        <v>0</v>
      </c>
      <c r="O37" s="2" t="s">
        <v>133</v>
      </c>
      <c r="P37" s="1">
        <v>0</v>
      </c>
      <c r="Q37" s="16" t="s">
        <v>11</v>
      </c>
      <c r="R37" s="14">
        <v>29.98</v>
      </c>
      <c r="S37" s="16">
        <f t="shared" si="13"/>
        <v>0</v>
      </c>
      <c r="T37" s="16">
        <v>0</v>
      </c>
      <c r="U37" s="2">
        <f t="shared" si="16"/>
        <v>0</v>
      </c>
      <c r="V37" s="2" t="s">
        <v>134</v>
      </c>
      <c r="W37" s="1">
        <v>0</v>
      </c>
      <c r="X37" s="2" t="s">
        <v>26</v>
      </c>
      <c r="Y37" s="17">
        <v>19.5</v>
      </c>
      <c r="Z37" s="16">
        <f t="shared" si="7"/>
        <v>0</v>
      </c>
      <c r="AA37" s="16">
        <v>0</v>
      </c>
      <c r="AB37" s="2">
        <f t="shared" si="17"/>
        <v>0</v>
      </c>
    </row>
    <row r="38" spans="1:28" ht="15.75" customHeight="1" x14ac:dyDescent="0.25">
      <c r="A38" s="2" t="s">
        <v>135</v>
      </c>
      <c r="B38" s="2">
        <v>0</v>
      </c>
      <c r="C38" s="2" t="s">
        <v>11</v>
      </c>
      <c r="D38" s="16">
        <v>9.2799999999999994</v>
      </c>
      <c r="E38" s="2">
        <f t="shared" si="20"/>
        <v>0</v>
      </c>
      <c r="F38" s="2">
        <v>0</v>
      </c>
      <c r="G38" s="2">
        <f t="shared" si="21"/>
        <v>0</v>
      </c>
      <c r="H38" s="2" t="s">
        <v>136</v>
      </c>
      <c r="I38" s="1">
        <v>0</v>
      </c>
      <c r="J38" s="2" t="s">
        <v>14</v>
      </c>
      <c r="K38" s="14">
        <v>19.75</v>
      </c>
      <c r="L38" s="2">
        <f t="shared" si="4"/>
        <v>0</v>
      </c>
      <c r="M38" s="2">
        <v>0</v>
      </c>
      <c r="N38" s="16">
        <f t="shared" ref="N38:N62" si="22">PRODUCT(K38,M38)</f>
        <v>0</v>
      </c>
      <c r="O38" s="2" t="s">
        <v>137</v>
      </c>
      <c r="P38" s="1">
        <v>0</v>
      </c>
      <c r="Q38" s="16" t="s">
        <v>11</v>
      </c>
      <c r="R38" s="14">
        <v>27.49</v>
      </c>
      <c r="S38" s="16">
        <f t="shared" si="13"/>
        <v>0</v>
      </c>
      <c r="T38" s="16">
        <v>0</v>
      </c>
      <c r="U38" s="2">
        <f t="shared" si="16"/>
        <v>0</v>
      </c>
      <c r="V38" s="2" t="s">
        <v>855</v>
      </c>
      <c r="W38" s="1">
        <v>4</v>
      </c>
      <c r="X38" s="2" t="s">
        <v>76</v>
      </c>
      <c r="Y38" s="17">
        <v>18.489999999999998</v>
      </c>
      <c r="Z38" s="16">
        <f t="shared" si="7"/>
        <v>73.959999999999994</v>
      </c>
      <c r="AA38" s="16">
        <v>0</v>
      </c>
      <c r="AB38" s="2">
        <f t="shared" si="17"/>
        <v>0</v>
      </c>
    </row>
    <row r="39" spans="1:28" ht="15.75" customHeight="1" x14ac:dyDescent="0.25">
      <c r="A39" s="18"/>
      <c r="B39" s="19"/>
      <c r="C39" s="19"/>
      <c r="D39" s="19"/>
      <c r="E39" s="19"/>
      <c r="F39" s="19"/>
      <c r="G39" s="20"/>
      <c r="H39" s="2" t="s">
        <v>138</v>
      </c>
      <c r="I39" s="1">
        <v>3.69</v>
      </c>
      <c r="J39" s="2" t="s">
        <v>14</v>
      </c>
      <c r="K39" s="14">
        <v>26.95</v>
      </c>
      <c r="L39" s="2">
        <f t="shared" si="4"/>
        <v>99.445499999999996</v>
      </c>
      <c r="M39" s="2">
        <v>0</v>
      </c>
      <c r="N39" s="16">
        <f t="shared" si="22"/>
        <v>0</v>
      </c>
      <c r="O39" s="2" t="s">
        <v>139</v>
      </c>
      <c r="P39" s="1">
        <v>0</v>
      </c>
      <c r="Q39" s="16" t="s">
        <v>11</v>
      </c>
      <c r="R39" s="14">
        <v>29.5</v>
      </c>
      <c r="S39" s="16">
        <f t="shared" si="13"/>
        <v>0</v>
      </c>
      <c r="T39" s="16">
        <v>0</v>
      </c>
      <c r="U39" s="2">
        <f t="shared" si="16"/>
        <v>0</v>
      </c>
      <c r="V39" s="2" t="s">
        <v>140</v>
      </c>
      <c r="W39" s="1">
        <v>0</v>
      </c>
      <c r="X39" s="2" t="s">
        <v>76</v>
      </c>
      <c r="Y39" s="17">
        <v>5.2</v>
      </c>
      <c r="Z39" s="16">
        <f t="shared" si="7"/>
        <v>0</v>
      </c>
      <c r="AA39" s="16"/>
      <c r="AB39" s="2">
        <f t="shared" si="17"/>
        <v>0</v>
      </c>
    </row>
    <row r="40" spans="1:28" ht="15.75" customHeight="1" x14ac:dyDescent="0.25">
      <c r="A40" s="33" t="s">
        <v>141</v>
      </c>
      <c r="B40" s="19"/>
      <c r="C40" s="19"/>
      <c r="D40" s="20"/>
      <c r="E40" s="34">
        <f>SUM(E37,E38)</f>
        <v>0</v>
      </c>
      <c r="F40" s="16"/>
      <c r="G40" s="34">
        <f>SUM(G24:G37)</f>
        <v>0</v>
      </c>
      <c r="H40" s="2" t="s">
        <v>142</v>
      </c>
      <c r="I40" s="1">
        <v>2</v>
      </c>
      <c r="J40" s="2" t="s">
        <v>14</v>
      </c>
      <c r="K40" s="14">
        <v>27.58</v>
      </c>
      <c r="L40" s="2">
        <f t="shared" si="4"/>
        <v>55.16</v>
      </c>
      <c r="M40" s="2">
        <v>0</v>
      </c>
      <c r="N40" s="16">
        <f t="shared" si="22"/>
        <v>0</v>
      </c>
      <c r="O40" s="16" t="s">
        <v>143</v>
      </c>
      <c r="P40" s="1">
        <v>0</v>
      </c>
      <c r="Q40" s="16" t="s">
        <v>11</v>
      </c>
      <c r="R40" s="14">
        <v>45.5</v>
      </c>
      <c r="S40" s="16">
        <f t="shared" si="13"/>
        <v>0</v>
      </c>
      <c r="T40" s="16">
        <v>0</v>
      </c>
      <c r="U40" s="2">
        <f t="shared" si="16"/>
        <v>0</v>
      </c>
      <c r="V40" s="2" t="s">
        <v>144</v>
      </c>
      <c r="W40" s="1">
        <v>1</v>
      </c>
      <c r="X40" s="2" t="s">
        <v>14</v>
      </c>
      <c r="Y40" s="17">
        <v>14.29</v>
      </c>
      <c r="Z40" s="16">
        <f t="shared" si="7"/>
        <v>14.29</v>
      </c>
      <c r="AA40" s="16">
        <v>0</v>
      </c>
      <c r="AB40" s="2">
        <f t="shared" si="17"/>
        <v>0</v>
      </c>
    </row>
    <row r="41" spans="1:28" ht="15.75" customHeight="1" x14ac:dyDescent="0.25">
      <c r="A41" s="18"/>
      <c r="B41" s="19"/>
      <c r="C41" s="19"/>
      <c r="D41" s="19"/>
      <c r="E41" s="19"/>
      <c r="F41" s="19"/>
      <c r="G41" s="20"/>
      <c r="H41" s="2" t="s">
        <v>145</v>
      </c>
      <c r="I41" s="1">
        <v>4</v>
      </c>
      <c r="J41" s="2" t="s">
        <v>26</v>
      </c>
      <c r="K41" s="14">
        <v>21.53</v>
      </c>
      <c r="L41" s="2">
        <f t="shared" si="4"/>
        <v>86.12</v>
      </c>
      <c r="M41" s="2">
        <v>0</v>
      </c>
      <c r="N41" s="16">
        <f t="shared" si="22"/>
        <v>0</v>
      </c>
      <c r="O41" s="2" t="s">
        <v>146</v>
      </c>
      <c r="P41" s="1">
        <v>0</v>
      </c>
      <c r="Q41" s="2" t="s">
        <v>11</v>
      </c>
      <c r="R41" s="14">
        <v>0</v>
      </c>
      <c r="S41" s="16">
        <f t="shared" si="13"/>
        <v>0</v>
      </c>
      <c r="T41" s="16">
        <v>0</v>
      </c>
      <c r="U41" s="2">
        <f t="shared" si="16"/>
        <v>0</v>
      </c>
      <c r="V41" s="2" t="s">
        <v>147</v>
      </c>
      <c r="W41" s="1">
        <v>1</v>
      </c>
      <c r="X41" s="2" t="s">
        <v>14</v>
      </c>
      <c r="Y41" s="17">
        <v>49.56</v>
      </c>
      <c r="Z41" s="16">
        <f t="shared" si="7"/>
        <v>49.56</v>
      </c>
      <c r="AA41" s="16">
        <v>0</v>
      </c>
      <c r="AB41" s="2">
        <f t="shared" si="17"/>
        <v>0</v>
      </c>
    </row>
    <row r="42" spans="1:28" ht="15.75" customHeight="1" x14ac:dyDescent="0.25">
      <c r="A42" s="12" t="s">
        <v>148</v>
      </c>
      <c r="B42" s="12" t="s">
        <v>1</v>
      </c>
      <c r="C42" s="12" t="s">
        <v>2</v>
      </c>
      <c r="D42" s="13" t="s">
        <v>3</v>
      </c>
      <c r="E42" s="12" t="s">
        <v>4</v>
      </c>
      <c r="F42" s="12" t="s">
        <v>5</v>
      </c>
      <c r="G42" s="12" t="s">
        <v>128</v>
      </c>
      <c r="H42" s="2" t="s">
        <v>149</v>
      </c>
      <c r="I42" s="1">
        <v>6</v>
      </c>
      <c r="J42" s="2" t="s">
        <v>11</v>
      </c>
      <c r="K42" s="14">
        <v>40.98</v>
      </c>
      <c r="L42" s="2">
        <f t="shared" si="4"/>
        <v>245.88</v>
      </c>
      <c r="M42" s="2">
        <v>0</v>
      </c>
      <c r="N42" s="16">
        <f t="shared" si="22"/>
        <v>0</v>
      </c>
      <c r="O42" s="16" t="s">
        <v>150</v>
      </c>
      <c r="P42" s="1">
        <v>9.2200000000000006</v>
      </c>
      <c r="Q42" s="16" t="s">
        <v>11</v>
      </c>
      <c r="R42" s="14">
        <v>37.5</v>
      </c>
      <c r="S42" s="16">
        <f>P42*R42</f>
        <v>345.75</v>
      </c>
      <c r="T42" s="16">
        <v>0</v>
      </c>
      <c r="U42" s="2">
        <f t="shared" si="16"/>
        <v>0</v>
      </c>
      <c r="V42" s="2" t="s">
        <v>151</v>
      </c>
      <c r="W42" s="1">
        <v>7</v>
      </c>
      <c r="X42" s="2" t="s">
        <v>14</v>
      </c>
      <c r="Y42" s="17">
        <v>93.71</v>
      </c>
      <c r="Z42" s="16">
        <f t="shared" si="7"/>
        <v>655.96999999999991</v>
      </c>
      <c r="AA42" s="16">
        <v>0</v>
      </c>
      <c r="AB42" s="2">
        <f t="shared" si="17"/>
        <v>0</v>
      </c>
    </row>
    <row r="43" spans="1:28" ht="15.75" customHeight="1" x14ac:dyDescent="0.25">
      <c r="A43" s="1" t="s">
        <v>152</v>
      </c>
      <c r="B43" s="1">
        <v>0</v>
      </c>
      <c r="C43" s="1" t="s">
        <v>11</v>
      </c>
      <c r="D43" s="35">
        <v>82</v>
      </c>
      <c r="E43" s="2">
        <f t="shared" ref="E43:E49" si="23">B43*D43</f>
        <v>0</v>
      </c>
      <c r="F43" s="16">
        <v>0</v>
      </c>
      <c r="G43" s="16">
        <f t="shared" ref="G43:G45" si="24">PRODUCT(D43,F43)</f>
        <v>0</v>
      </c>
      <c r="H43" s="2" t="s">
        <v>958</v>
      </c>
      <c r="I43" s="1">
        <v>3</v>
      </c>
      <c r="J43" s="2" t="s">
        <v>14</v>
      </c>
      <c r="K43" s="14">
        <v>13.2</v>
      </c>
      <c r="L43" s="2">
        <f t="shared" si="4"/>
        <v>39.599999999999994</v>
      </c>
      <c r="M43" s="2">
        <v>0</v>
      </c>
      <c r="N43" s="16">
        <f t="shared" si="22"/>
        <v>0</v>
      </c>
      <c r="O43" s="16" t="s">
        <v>153</v>
      </c>
      <c r="P43" s="1">
        <v>0</v>
      </c>
      <c r="Q43" s="16" t="s">
        <v>11</v>
      </c>
      <c r="R43" s="14">
        <v>32.200000000000003</v>
      </c>
      <c r="S43" s="16">
        <f t="shared" si="13"/>
        <v>0</v>
      </c>
      <c r="T43" s="16">
        <v>0</v>
      </c>
      <c r="U43" s="2">
        <f t="shared" si="16"/>
        <v>0</v>
      </c>
      <c r="V43" s="2" t="s">
        <v>154</v>
      </c>
      <c r="W43" s="1">
        <v>0</v>
      </c>
      <c r="X43" s="2" t="s">
        <v>76</v>
      </c>
      <c r="Y43" s="17">
        <v>93.71</v>
      </c>
      <c r="Z43" s="16">
        <f t="shared" si="7"/>
        <v>0</v>
      </c>
      <c r="AA43" s="16">
        <v>0</v>
      </c>
      <c r="AB43" s="2">
        <f t="shared" si="17"/>
        <v>0</v>
      </c>
    </row>
    <row r="44" spans="1:28" ht="15.75" customHeight="1" x14ac:dyDescent="0.25">
      <c r="A44" s="2" t="s">
        <v>155</v>
      </c>
      <c r="B44" s="1">
        <v>0</v>
      </c>
      <c r="C44" s="2" t="s">
        <v>11</v>
      </c>
      <c r="D44" s="36">
        <v>0</v>
      </c>
      <c r="E44" s="2">
        <f t="shared" si="23"/>
        <v>0</v>
      </c>
      <c r="F44" s="2">
        <v>0</v>
      </c>
      <c r="G44" s="2">
        <f t="shared" si="24"/>
        <v>0</v>
      </c>
      <c r="H44" s="2" t="s">
        <v>156</v>
      </c>
      <c r="I44" s="1">
        <v>1.8</v>
      </c>
      <c r="J44" s="2" t="s">
        <v>14</v>
      </c>
      <c r="K44" s="14">
        <v>39.9</v>
      </c>
      <c r="L44" s="2">
        <f>I44*K44</f>
        <v>71.819999999999993</v>
      </c>
      <c r="M44" s="2">
        <v>0</v>
      </c>
      <c r="N44" s="16">
        <f t="shared" si="22"/>
        <v>0</v>
      </c>
      <c r="O44" s="18">
        <f>PRODUCT(R44,T44)</f>
        <v>0</v>
      </c>
      <c r="P44" s="19"/>
      <c r="Q44" s="19"/>
      <c r="R44" s="19"/>
      <c r="S44" s="19"/>
      <c r="T44" s="19"/>
      <c r="U44" s="20"/>
      <c r="V44" s="2" t="s">
        <v>157</v>
      </c>
      <c r="W44" s="1">
        <v>0</v>
      </c>
      <c r="X44" s="2" t="s">
        <v>14</v>
      </c>
      <c r="Y44" s="17">
        <v>0</v>
      </c>
      <c r="Z44" s="16">
        <f t="shared" si="7"/>
        <v>0</v>
      </c>
      <c r="AA44" s="16">
        <v>0</v>
      </c>
      <c r="AB44" s="2">
        <f t="shared" ref="AB44:AB47" si="25">Y44*AA44</f>
        <v>0</v>
      </c>
    </row>
    <row r="45" spans="1:28" ht="15.75" customHeight="1" x14ac:dyDescent="0.25">
      <c r="A45" s="2" t="s">
        <v>158</v>
      </c>
      <c r="B45" s="1">
        <v>0</v>
      </c>
      <c r="C45" s="2" t="s">
        <v>11</v>
      </c>
      <c r="D45" s="14">
        <v>20.9</v>
      </c>
      <c r="E45" s="2">
        <f t="shared" si="23"/>
        <v>0</v>
      </c>
      <c r="F45" s="2">
        <v>0</v>
      </c>
      <c r="G45" s="2">
        <f t="shared" si="24"/>
        <v>0</v>
      </c>
      <c r="H45" s="2" t="s">
        <v>159</v>
      </c>
      <c r="I45" s="1">
        <v>3</v>
      </c>
      <c r="J45" s="2" t="s">
        <v>26</v>
      </c>
      <c r="K45" s="14">
        <v>17</v>
      </c>
      <c r="L45" s="2">
        <f t="shared" si="4"/>
        <v>51</v>
      </c>
      <c r="M45" s="2">
        <v>0</v>
      </c>
      <c r="N45" s="16">
        <f t="shared" si="22"/>
        <v>0</v>
      </c>
      <c r="O45" s="33" t="s">
        <v>160</v>
      </c>
      <c r="P45" s="19"/>
      <c r="Q45" s="19"/>
      <c r="R45" s="20"/>
      <c r="S45" s="34">
        <f>SUM(S14:S43)</f>
        <v>1954.4976000000001</v>
      </c>
      <c r="T45" s="16"/>
      <c r="U45" s="34">
        <f>SUM(U30:U43)</f>
        <v>0</v>
      </c>
      <c r="V45" s="2" t="s">
        <v>161</v>
      </c>
      <c r="W45" s="1">
        <v>0</v>
      </c>
      <c r="X45" s="2" t="s">
        <v>14</v>
      </c>
      <c r="Y45" s="17">
        <v>60</v>
      </c>
      <c r="Z45" s="16">
        <f t="shared" si="7"/>
        <v>0</v>
      </c>
      <c r="AA45" s="16">
        <v>0</v>
      </c>
      <c r="AB45" s="2">
        <f t="shared" si="25"/>
        <v>0</v>
      </c>
    </row>
    <row r="46" spans="1:28" ht="15.75" customHeight="1" x14ac:dyDescent="0.25">
      <c r="A46" s="1" t="s">
        <v>162</v>
      </c>
      <c r="B46" s="1">
        <v>6.25</v>
      </c>
      <c r="C46" s="1" t="s">
        <v>11</v>
      </c>
      <c r="D46" s="14">
        <v>68.900000000000006</v>
      </c>
      <c r="E46" s="2">
        <f t="shared" si="23"/>
        <v>430.62500000000006</v>
      </c>
      <c r="F46" s="16">
        <v>0</v>
      </c>
      <c r="G46" s="16">
        <v>0</v>
      </c>
      <c r="H46" s="2" t="s">
        <v>163</v>
      </c>
      <c r="I46" s="1">
        <v>3</v>
      </c>
      <c r="J46" s="2" t="s">
        <v>11</v>
      </c>
      <c r="K46" s="14">
        <v>4.96</v>
      </c>
      <c r="L46" s="2">
        <f t="shared" si="4"/>
        <v>14.879999999999999</v>
      </c>
      <c r="M46" s="2">
        <v>0</v>
      </c>
      <c r="N46" s="16">
        <f t="shared" si="22"/>
        <v>0</v>
      </c>
      <c r="O46" s="18">
        <f>PRODUCT(R46,T46)</f>
        <v>0</v>
      </c>
      <c r="P46" s="19"/>
      <c r="Q46" s="19"/>
      <c r="R46" s="19"/>
      <c r="S46" s="19"/>
      <c r="T46" s="19"/>
      <c r="U46" s="20"/>
      <c r="V46" s="2" t="s">
        <v>882</v>
      </c>
      <c r="W46" s="1">
        <v>0</v>
      </c>
      <c r="X46" s="2" t="s">
        <v>14</v>
      </c>
      <c r="Y46" s="17">
        <v>46.28</v>
      </c>
      <c r="Z46" s="16">
        <f t="shared" si="7"/>
        <v>0</v>
      </c>
      <c r="AA46" s="16">
        <v>0</v>
      </c>
      <c r="AB46" s="2">
        <f t="shared" si="25"/>
        <v>0</v>
      </c>
    </row>
    <row r="47" spans="1:28" ht="15.75" customHeight="1" x14ac:dyDescent="0.25">
      <c r="A47" s="1" t="s">
        <v>164</v>
      </c>
      <c r="B47" s="1">
        <v>0</v>
      </c>
      <c r="C47" s="1" t="s">
        <v>11</v>
      </c>
      <c r="D47" s="14">
        <v>68.900000000000006</v>
      </c>
      <c r="E47" s="2">
        <f t="shared" si="23"/>
        <v>0</v>
      </c>
      <c r="F47" s="16">
        <v>0</v>
      </c>
      <c r="G47" s="16">
        <f t="shared" ref="G47:G49" si="26">PRODUCT(D47,F47)</f>
        <v>0</v>
      </c>
      <c r="H47" s="2" t="s">
        <v>165</v>
      </c>
      <c r="I47" s="1">
        <v>2</v>
      </c>
      <c r="J47" s="2" t="s">
        <v>11</v>
      </c>
      <c r="K47" s="14">
        <v>5.68</v>
      </c>
      <c r="L47" s="2">
        <f t="shared" si="4"/>
        <v>11.36</v>
      </c>
      <c r="M47" s="2">
        <v>0</v>
      </c>
      <c r="N47" s="16">
        <f t="shared" si="22"/>
        <v>0</v>
      </c>
      <c r="O47" s="12" t="s">
        <v>166</v>
      </c>
      <c r="P47" s="12" t="s">
        <v>1</v>
      </c>
      <c r="Q47" s="12" t="s">
        <v>2</v>
      </c>
      <c r="R47" s="12" t="s">
        <v>3</v>
      </c>
      <c r="S47" s="12" t="s">
        <v>4</v>
      </c>
      <c r="T47" s="12" t="s">
        <v>5</v>
      </c>
      <c r="U47" s="12" t="s">
        <v>6</v>
      </c>
      <c r="V47" s="2" t="s">
        <v>167</v>
      </c>
      <c r="W47" s="1">
        <v>0</v>
      </c>
      <c r="X47" s="2" t="s">
        <v>14</v>
      </c>
      <c r="Y47" s="17">
        <v>0.64</v>
      </c>
      <c r="Z47" s="16">
        <f t="shared" si="7"/>
        <v>0</v>
      </c>
      <c r="AA47" s="16">
        <v>0</v>
      </c>
      <c r="AB47" s="2">
        <f t="shared" si="25"/>
        <v>0</v>
      </c>
    </row>
    <row r="48" spans="1:28" ht="15.75" customHeight="1" x14ac:dyDescent="0.25">
      <c r="A48" s="1" t="s">
        <v>168</v>
      </c>
      <c r="B48" s="1">
        <v>5.3</v>
      </c>
      <c r="C48" s="1" t="s">
        <v>11</v>
      </c>
      <c r="D48" s="14">
        <v>21.9</v>
      </c>
      <c r="E48" s="2">
        <f t="shared" si="23"/>
        <v>116.07</v>
      </c>
      <c r="F48" s="16">
        <v>0</v>
      </c>
      <c r="G48" s="16">
        <f t="shared" si="26"/>
        <v>0</v>
      </c>
      <c r="H48" s="2" t="s">
        <v>169</v>
      </c>
      <c r="I48" s="1">
        <v>7</v>
      </c>
      <c r="J48" s="2" t="s">
        <v>11</v>
      </c>
      <c r="K48" s="14">
        <v>23</v>
      </c>
      <c r="L48" s="2">
        <f t="shared" si="4"/>
        <v>161</v>
      </c>
      <c r="M48" s="2">
        <v>0</v>
      </c>
      <c r="N48" s="16">
        <f t="shared" si="22"/>
        <v>0</v>
      </c>
      <c r="O48" s="1" t="s">
        <v>170</v>
      </c>
      <c r="P48" s="1">
        <v>0</v>
      </c>
      <c r="Q48" s="1" t="s">
        <v>11</v>
      </c>
      <c r="R48" s="15">
        <v>19.95</v>
      </c>
      <c r="S48" s="16">
        <f t="shared" ref="S48:S69" si="27">P48*R48</f>
        <v>0</v>
      </c>
      <c r="T48" s="1">
        <v>0</v>
      </c>
      <c r="U48" s="1">
        <v>0</v>
      </c>
      <c r="V48" s="2" t="s">
        <v>171</v>
      </c>
      <c r="W48" s="1">
        <v>4</v>
      </c>
      <c r="X48" s="2" t="s">
        <v>76</v>
      </c>
      <c r="Y48" s="17">
        <v>21.9</v>
      </c>
      <c r="Z48" s="16">
        <f t="shared" si="7"/>
        <v>87.6</v>
      </c>
      <c r="AA48" s="16">
        <v>0</v>
      </c>
      <c r="AB48" s="2">
        <v>0</v>
      </c>
    </row>
    <row r="49" spans="1:28" ht="15.75" customHeight="1" x14ac:dyDescent="0.25">
      <c r="A49" s="16" t="s">
        <v>172</v>
      </c>
      <c r="B49" s="1">
        <v>4.95</v>
      </c>
      <c r="C49" s="16" t="s">
        <v>11</v>
      </c>
      <c r="D49" s="14">
        <v>41.5</v>
      </c>
      <c r="E49" s="2">
        <f t="shared" si="23"/>
        <v>205.42500000000001</v>
      </c>
      <c r="F49" s="16">
        <v>0</v>
      </c>
      <c r="G49" s="16">
        <f t="shared" si="26"/>
        <v>0</v>
      </c>
      <c r="H49" s="2" t="s">
        <v>173</v>
      </c>
      <c r="I49" s="1">
        <v>10</v>
      </c>
      <c r="J49" s="2" t="s">
        <v>11</v>
      </c>
      <c r="K49" s="14">
        <v>13.5</v>
      </c>
      <c r="L49" s="2">
        <f t="shared" si="4"/>
        <v>135</v>
      </c>
      <c r="M49" s="2">
        <v>0</v>
      </c>
      <c r="N49" s="16">
        <f t="shared" si="22"/>
        <v>0</v>
      </c>
      <c r="O49" s="1" t="s">
        <v>174</v>
      </c>
      <c r="P49" s="1">
        <v>0</v>
      </c>
      <c r="Q49" s="1" t="s">
        <v>11</v>
      </c>
      <c r="R49" s="14">
        <v>27.5</v>
      </c>
      <c r="S49" s="16">
        <f t="shared" si="27"/>
        <v>0</v>
      </c>
      <c r="T49" s="1">
        <v>0</v>
      </c>
      <c r="U49" s="1">
        <v>0</v>
      </c>
      <c r="V49" s="2" t="s">
        <v>175</v>
      </c>
      <c r="W49" s="1">
        <v>0</v>
      </c>
      <c r="X49" s="2" t="s">
        <v>14</v>
      </c>
      <c r="Y49" s="17">
        <v>43.9</v>
      </c>
      <c r="Z49" s="16">
        <f t="shared" si="7"/>
        <v>0</v>
      </c>
      <c r="AA49" s="16">
        <v>0</v>
      </c>
      <c r="AB49" s="2">
        <f t="shared" ref="AB49:AB54" si="28">Y49*AA49</f>
        <v>0</v>
      </c>
    </row>
    <row r="50" spans="1:28" ht="15.75" customHeight="1" x14ac:dyDescent="0.25">
      <c r="A50" s="18"/>
      <c r="B50" s="19"/>
      <c r="C50" s="19"/>
      <c r="D50" s="19"/>
      <c r="E50" s="19"/>
      <c r="F50" s="19"/>
      <c r="G50" s="20"/>
      <c r="H50" s="2" t="s">
        <v>176</v>
      </c>
      <c r="I50" s="1">
        <v>3</v>
      </c>
      <c r="J50" s="2" t="s">
        <v>55</v>
      </c>
      <c r="K50" s="14">
        <v>6.89</v>
      </c>
      <c r="L50" s="2">
        <f t="shared" si="4"/>
        <v>20.669999999999998</v>
      </c>
      <c r="M50" s="2">
        <v>0</v>
      </c>
      <c r="N50" s="16">
        <f t="shared" si="22"/>
        <v>0</v>
      </c>
      <c r="O50" s="1" t="s">
        <v>177</v>
      </c>
      <c r="P50" s="1">
        <v>0.51</v>
      </c>
      <c r="Q50" s="1" t="s">
        <v>11</v>
      </c>
      <c r="R50" s="14">
        <v>90</v>
      </c>
      <c r="S50" s="16">
        <f t="shared" si="27"/>
        <v>45.9</v>
      </c>
      <c r="T50" s="1">
        <v>0</v>
      </c>
      <c r="U50" s="1">
        <v>0</v>
      </c>
      <c r="V50" s="2" t="s">
        <v>178</v>
      </c>
      <c r="W50" s="1">
        <v>2</v>
      </c>
      <c r="X50" s="2" t="s">
        <v>179</v>
      </c>
      <c r="Y50" s="17">
        <v>59.99</v>
      </c>
      <c r="Z50" s="16">
        <f t="shared" si="7"/>
        <v>119.98</v>
      </c>
      <c r="AA50" s="16">
        <v>0</v>
      </c>
      <c r="AB50" s="2">
        <f t="shared" si="28"/>
        <v>0</v>
      </c>
    </row>
    <row r="51" spans="1:28" ht="15.75" customHeight="1" x14ac:dyDescent="0.25">
      <c r="A51" s="33" t="s">
        <v>180</v>
      </c>
      <c r="B51" s="19"/>
      <c r="C51" s="19"/>
      <c r="D51" s="20"/>
      <c r="E51" s="34">
        <f>SUM(E43:E49)</f>
        <v>752.12000000000012</v>
      </c>
      <c r="F51" s="16"/>
      <c r="G51" s="34">
        <f>SUM(G49)</f>
        <v>0</v>
      </c>
      <c r="H51" s="2" t="s">
        <v>959</v>
      </c>
      <c r="I51" s="1">
        <v>1</v>
      </c>
      <c r="J51" s="2" t="s">
        <v>14</v>
      </c>
      <c r="K51" s="14">
        <v>24</v>
      </c>
      <c r="L51" s="2">
        <f t="shared" si="4"/>
        <v>24</v>
      </c>
      <c r="M51" s="2">
        <v>0</v>
      </c>
      <c r="N51" s="16">
        <f t="shared" si="22"/>
        <v>0</v>
      </c>
      <c r="O51" s="2" t="s">
        <v>181</v>
      </c>
      <c r="P51" s="1">
        <v>3.62</v>
      </c>
      <c r="Q51" s="2" t="s">
        <v>11</v>
      </c>
      <c r="R51" s="14">
        <v>45</v>
      </c>
      <c r="S51" s="16">
        <f t="shared" si="27"/>
        <v>162.9</v>
      </c>
      <c r="T51" s="2">
        <v>0</v>
      </c>
      <c r="U51" s="16">
        <f t="shared" ref="U51:U57" si="29">PRODUCT(R51,T51)</f>
        <v>0</v>
      </c>
      <c r="V51" s="2" t="s">
        <v>182</v>
      </c>
      <c r="W51" s="1">
        <v>0</v>
      </c>
      <c r="X51" s="2" t="s">
        <v>14</v>
      </c>
      <c r="Y51" s="17">
        <v>0.25380000000000003</v>
      </c>
      <c r="Z51" s="16">
        <f t="shared" si="7"/>
        <v>0</v>
      </c>
      <c r="AA51" s="16">
        <v>0</v>
      </c>
      <c r="AB51" s="2">
        <f t="shared" si="28"/>
        <v>0</v>
      </c>
    </row>
    <row r="52" spans="1:28" ht="15.75" customHeight="1" x14ac:dyDescent="0.25">
      <c r="A52" s="18"/>
      <c r="B52" s="19"/>
      <c r="C52" s="19"/>
      <c r="D52" s="19"/>
      <c r="E52" s="19"/>
      <c r="F52" s="19"/>
      <c r="G52" s="20"/>
      <c r="H52" s="2" t="s">
        <v>961</v>
      </c>
      <c r="I52" s="1">
        <v>4</v>
      </c>
      <c r="J52" s="2" t="s">
        <v>14</v>
      </c>
      <c r="K52" s="14">
        <v>18.079999999999998</v>
      </c>
      <c r="L52" s="2">
        <f t="shared" si="4"/>
        <v>72.319999999999993</v>
      </c>
      <c r="M52" s="2">
        <v>0</v>
      </c>
      <c r="N52" s="16">
        <f t="shared" si="22"/>
        <v>0</v>
      </c>
      <c r="O52" s="2" t="s">
        <v>183</v>
      </c>
      <c r="P52" s="1">
        <v>0.57999999999999996</v>
      </c>
      <c r="Q52" s="2" t="s">
        <v>11</v>
      </c>
      <c r="R52" s="14">
        <v>65.45</v>
      </c>
      <c r="S52" s="16">
        <f t="shared" si="27"/>
        <v>37.960999999999999</v>
      </c>
      <c r="T52" s="2">
        <v>0</v>
      </c>
      <c r="U52" s="16">
        <f t="shared" si="29"/>
        <v>0</v>
      </c>
      <c r="V52" s="2" t="s">
        <v>184</v>
      </c>
      <c r="W52" s="1">
        <v>0</v>
      </c>
      <c r="X52" s="2" t="s">
        <v>179</v>
      </c>
      <c r="Y52" s="17">
        <v>295</v>
      </c>
      <c r="Z52" s="16">
        <f t="shared" si="7"/>
        <v>0</v>
      </c>
      <c r="AA52" s="16">
        <v>0</v>
      </c>
      <c r="AB52" s="2">
        <f t="shared" si="28"/>
        <v>0</v>
      </c>
    </row>
    <row r="53" spans="1:28" ht="15.75" customHeight="1" x14ac:dyDescent="0.25">
      <c r="A53" s="12" t="s">
        <v>185</v>
      </c>
      <c r="B53" s="12" t="s">
        <v>1</v>
      </c>
      <c r="C53" s="12" t="s">
        <v>2</v>
      </c>
      <c r="D53" s="13" t="s">
        <v>3</v>
      </c>
      <c r="E53" s="12" t="s">
        <v>4</v>
      </c>
      <c r="F53" s="12" t="s">
        <v>5</v>
      </c>
      <c r="G53" s="12" t="s">
        <v>6</v>
      </c>
      <c r="H53" s="2" t="s">
        <v>186</v>
      </c>
      <c r="I53" s="1">
        <v>2</v>
      </c>
      <c r="J53" s="2" t="s">
        <v>14</v>
      </c>
      <c r="K53" s="14">
        <v>48.24</v>
      </c>
      <c r="L53" s="2">
        <f>I53*K53</f>
        <v>96.48</v>
      </c>
      <c r="M53" s="2">
        <v>0</v>
      </c>
      <c r="N53" s="16">
        <f t="shared" si="22"/>
        <v>0</v>
      </c>
      <c r="O53" s="2" t="s">
        <v>919</v>
      </c>
      <c r="P53" s="1">
        <v>0</v>
      </c>
      <c r="Q53" s="2" t="s">
        <v>11</v>
      </c>
      <c r="R53" s="14">
        <v>21</v>
      </c>
      <c r="S53" s="16">
        <f t="shared" si="27"/>
        <v>0</v>
      </c>
      <c r="T53" s="2">
        <v>0</v>
      </c>
      <c r="U53" s="16">
        <f t="shared" si="29"/>
        <v>0</v>
      </c>
      <c r="V53" s="2" t="s">
        <v>187</v>
      </c>
      <c r="W53" s="1">
        <v>0</v>
      </c>
      <c r="X53" s="2" t="s">
        <v>179</v>
      </c>
      <c r="Y53" s="17">
        <v>424</v>
      </c>
      <c r="Z53" s="16">
        <f t="shared" si="7"/>
        <v>0</v>
      </c>
      <c r="AA53" s="16">
        <v>0</v>
      </c>
      <c r="AB53" s="2">
        <f t="shared" si="28"/>
        <v>0</v>
      </c>
    </row>
    <row r="54" spans="1:28" ht="15.75" customHeight="1" x14ac:dyDescent="0.25">
      <c r="A54" s="16" t="s">
        <v>188</v>
      </c>
      <c r="B54" s="16">
        <v>0</v>
      </c>
      <c r="C54" s="16" t="s">
        <v>55</v>
      </c>
      <c r="D54" s="2">
        <v>17</v>
      </c>
      <c r="E54" s="2">
        <f t="shared" ref="E54:E55" si="30">B54*D54</f>
        <v>0</v>
      </c>
      <c r="F54" s="16">
        <v>0</v>
      </c>
      <c r="G54" s="2">
        <f t="shared" ref="G54:G55" si="31">PRODUCT(D54,F54)</f>
        <v>0</v>
      </c>
      <c r="H54" s="2" t="s">
        <v>189</v>
      </c>
      <c r="I54" s="1">
        <v>0</v>
      </c>
      <c r="J54" s="2" t="s">
        <v>14</v>
      </c>
      <c r="K54" s="14">
        <v>12.94</v>
      </c>
      <c r="L54" s="2">
        <f t="shared" si="4"/>
        <v>0</v>
      </c>
      <c r="M54" s="2">
        <v>0</v>
      </c>
      <c r="N54" s="16">
        <f t="shared" si="22"/>
        <v>0</v>
      </c>
      <c r="O54" s="2" t="s">
        <v>190</v>
      </c>
      <c r="P54" s="1">
        <v>1</v>
      </c>
      <c r="Q54" s="2" t="s">
        <v>11</v>
      </c>
      <c r="R54" s="14">
        <v>89.99</v>
      </c>
      <c r="S54" s="16">
        <f t="shared" si="27"/>
        <v>89.99</v>
      </c>
      <c r="T54" s="2">
        <v>0</v>
      </c>
      <c r="U54" s="16">
        <f t="shared" si="29"/>
        <v>0</v>
      </c>
      <c r="V54" s="2" t="s">
        <v>191</v>
      </c>
      <c r="W54" s="1">
        <v>2</v>
      </c>
      <c r="X54" s="2" t="s">
        <v>14</v>
      </c>
      <c r="Y54" s="17">
        <v>424</v>
      </c>
      <c r="Z54" s="16">
        <f t="shared" si="7"/>
        <v>848</v>
      </c>
      <c r="AA54" s="16">
        <v>0</v>
      </c>
      <c r="AB54" s="2">
        <f t="shared" si="28"/>
        <v>0</v>
      </c>
    </row>
    <row r="55" spans="1:28" ht="15.75" customHeight="1" x14ac:dyDescent="0.25">
      <c r="A55" s="16" t="s">
        <v>192</v>
      </c>
      <c r="B55" s="16">
        <v>0</v>
      </c>
      <c r="C55" s="16" t="s">
        <v>55</v>
      </c>
      <c r="D55" s="2">
        <v>14.6</v>
      </c>
      <c r="E55" s="2">
        <f t="shared" si="30"/>
        <v>0</v>
      </c>
      <c r="F55" s="16">
        <v>0</v>
      </c>
      <c r="G55" s="2">
        <f t="shared" si="31"/>
        <v>0</v>
      </c>
      <c r="H55" s="2" t="s">
        <v>960</v>
      </c>
      <c r="I55" s="1">
        <v>2</v>
      </c>
      <c r="J55" s="2" t="s">
        <v>14</v>
      </c>
      <c r="K55" s="14">
        <v>14.4</v>
      </c>
      <c r="L55" s="2">
        <f t="shared" si="4"/>
        <v>28.8</v>
      </c>
      <c r="M55" s="2">
        <v>0</v>
      </c>
      <c r="N55" s="16">
        <f t="shared" si="22"/>
        <v>0</v>
      </c>
      <c r="O55" s="16" t="s">
        <v>943</v>
      </c>
      <c r="P55" s="1">
        <v>0.78</v>
      </c>
      <c r="Q55" s="2" t="s">
        <v>11</v>
      </c>
      <c r="R55" s="14">
        <v>13</v>
      </c>
      <c r="S55" s="16">
        <f t="shared" si="27"/>
        <v>10.14</v>
      </c>
      <c r="T55" s="2">
        <v>0</v>
      </c>
      <c r="U55" s="16">
        <f t="shared" si="29"/>
        <v>0</v>
      </c>
      <c r="V55" s="2" t="s">
        <v>193</v>
      </c>
      <c r="W55" s="1">
        <v>2</v>
      </c>
      <c r="X55" s="2" t="s">
        <v>14</v>
      </c>
      <c r="Y55" s="17">
        <v>0.85</v>
      </c>
      <c r="Z55" s="16">
        <f t="shared" si="7"/>
        <v>1.7</v>
      </c>
      <c r="AA55" s="16">
        <v>0</v>
      </c>
      <c r="AB55" s="2">
        <v>0</v>
      </c>
    </row>
    <row r="56" spans="1:28" ht="15.75" customHeight="1" x14ac:dyDescent="0.25">
      <c r="A56" s="37"/>
      <c r="B56" s="37"/>
      <c r="C56" s="37"/>
      <c r="D56" s="38"/>
      <c r="E56" s="38"/>
      <c r="F56" s="37"/>
      <c r="G56" s="32"/>
      <c r="H56" s="2" t="s">
        <v>905</v>
      </c>
      <c r="I56" s="1">
        <v>24</v>
      </c>
      <c r="J56" s="2" t="s">
        <v>14</v>
      </c>
      <c r="K56" s="14">
        <v>5.48</v>
      </c>
      <c r="L56" s="2">
        <f>I56*K56</f>
        <v>131.52000000000001</v>
      </c>
      <c r="M56" s="2">
        <v>0</v>
      </c>
      <c r="N56" s="16">
        <f t="shared" si="22"/>
        <v>0</v>
      </c>
      <c r="O56" s="16" t="s">
        <v>194</v>
      </c>
      <c r="P56" s="1">
        <v>2</v>
      </c>
      <c r="Q56" s="2" t="s">
        <v>11</v>
      </c>
      <c r="R56" s="14">
        <v>99.9</v>
      </c>
      <c r="S56" s="16">
        <f t="shared" si="27"/>
        <v>199.8</v>
      </c>
      <c r="T56" s="2">
        <v>0</v>
      </c>
      <c r="U56" s="16">
        <f t="shared" si="29"/>
        <v>0</v>
      </c>
      <c r="V56" s="2" t="s">
        <v>195</v>
      </c>
      <c r="W56" s="1">
        <v>0</v>
      </c>
      <c r="X56" s="2" t="s">
        <v>14</v>
      </c>
      <c r="Y56" s="17">
        <v>0.42299999999999999</v>
      </c>
      <c r="Z56" s="16">
        <f t="shared" si="7"/>
        <v>0</v>
      </c>
      <c r="AA56" s="16">
        <v>0</v>
      </c>
      <c r="AB56" s="2">
        <f t="shared" ref="AB56:AB62" si="32">Y56*AA56</f>
        <v>0</v>
      </c>
    </row>
    <row r="57" spans="1:28" ht="15.75" customHeight="1" x14ac:dyDescent="0.25">
      <c r="A57" s="39"/>
      <c r="B57" s="19"/>
      <c r="C57" s="19"/>
      <c r="D57" s="19"/>
      <c r="E57" s="19"/>
      <c r="F57" s="19"/>
      <c r="G57" s="20"/>
      <c r="H57" s="2" t="s">
        <v>854</v>
      </c>
      <c r="I57" s="1">
        <v>3</v>
      </c>
      <c r="J57" s="2" t="s">
        <v>26</v>
      </c>
      <c r="K57" s="14">
        <v>19.98</v>
      </c>
      <c r="L57" s="2">
        <f t="shared" si="4"/>
        <v>59.94</v>
      </c>
      <c r="M57" s="2">
        <v>0</v>
      </c>
      <c r="N57" s="16">
        <f t="shared" si="22"/>
        <v>0</v>
      </c>
      <c r="O57" s="16" t="s">
        <v>918</v>
      </c>
      <c r="P57" s="1">
        <v>0.21</v>
      </c>
      <c r="Q57" s="2" t="s">
        <v>11</v>
      </c>
      <c r="R57" s="14">
        <v>20</v>
      </c>
      <c r="S57" s="16">
        <f t="shared" si="27"/>
        <v>4.2</v>
      </c>
      <c r="T57" s="2">
        <v>0</v>
      </c>
      <c r="U57" s="16">
        <f t="shared" si="29"/>
        <v>0</v>
      </c>
      <c r="V57" s="2" t="s">
        <v>198</v>
      </c>
      <c r="W57" s="1">
        <v>0</v>
      </c>
      <c r="X57" s="2" t="s">
        <v>14</v>
      </c>
      <c r="Y57" s="17">
        <v>870</v>
      </c>
      <c r="Z57" s="16">
        <f t="shared" si="7"/>
        <v>0</v>
      </c>
      <c r="AA57" s="16">
        <v>0</v>
      </c>
      <c r="AB57" s="2">
        <f t="shared" si="32"/>
        <v>0</v>
      </c>
    </row>
    <row r="58" spans="1:28" ht="15.75" customHeight="1" x14ac:dyDescent="0.25">
      <c r="A58" s="33" t="s">
        <v>196</v>
      </c>
      <c r="B58" s="19"/>
      <c r="C58" s="19"/>
      <c r="D58" s="20"/>
      <c r="E58" s="34">
        <f>SUM(E54:E55)</f>
        <v>0</v>
      </c>
      <c r="F58" s="16"/>
      <c r="G58" s="34">
        <f>SUM(G54)</f>
        <v>0</v>
      </c>
      <c r="H58" s="2" t="s">
        <v>197</v>
      </c>
      <c r="I58" s="1">
        <v>4</v>
      </c>
      <c r="J58" s="2" t="s">
        <v>11</v>
      </c>
      <c r="K58" s="14">
        <v>8.8000000000000007</v>
      </c>
      <c r="L58" s="2">
        <f t="shared" si="4"/>
        <v>35.200000000000003</v>
      </c>
      <c r="M58" s="2">
        <v>0</v>
      </c>
      <c r="N58" s="16">
        <f t="shared" si="22"/>
        <v>0</v>
      </c>
      <c r="O58" s="16" t="s">
        <v>883</v>
      </c>
      <c r="P58" s="1">
        <v>0</v>
      </c>
      <c r="Q58" s="2" t="s">
        <v>11</v>
      </c>
      <c r="R58" s="14">
        <v>7.99</v>
      </c>
      <c r="S58" s="16">
        <f t="shared" si="27"/>
        <v>0</v>
      </c>
      <c r="T58" s="2">
        <v>0</v>
      </c>
      <c r="U58" s="16">
        <v>0</v>
      </c>
      <c r="V58" s="2" t="s">
        <v>200</v>
      </c>
      <c r="W58" s="1">
        <v>0</v>
      </c>
      <c r="X58" s="2" t="s">
        <v>14</v>
      </c>
      <c r="Y58" s="17">
        <v>0.84599999999999997</v>
      </c>
      <c r="Z58" s="16">
        <f t="shared" si="7"/>
        <v>0</v>
      </c>
      <c r="AA58" s="16">
        <v>0</v>
      </c>
      <c r="AB58" s="2">
        <f t="shared" si="32"/>
        <v>0</v>
      </c>
    </row>
    <row r="59" spans="1:28" ht="15.75" customHeight="1" x14ac:dyDescent="0.25">
      <c r="A59" s="18"/>
      <c r="B59" s="19"/>
      <c r="C59" s="19"/>
      <c r="D59" s="19"/>
      <c r="E59" s="19"/>
      <c r="F59" s="19"/>
      <c r="G59" s="20"/>
      <c r="H59" s="2" t="s">
        <v>199</v>
      </c>
      <c r="I59" s="1">
        <v>6</v>
      </c>
      <c r="J59" s="2" t="s">
        <v>14</v>
      </c>
      <c r="K59" s="14">
        <v>181.5</v>
      </c>
      <c r="L59" s="2">
        <f>I59*K59</f>
        <v>1089</v>
      </c>
      <c r="M59" s="2">
        <v>0</v>
      </c>
      <c r="N59" s="16">
        <f t="shared" si="22"/>
        <v>0</v>
      </c>
      <c r="O59" s="16" t="s">
        <v>203</v>
      </c>
      <c r="P59" s="1">
        <v>3.17</v>
      </c>
      <c r="Q59" s="1" t="s">
        <v>11</v>
      </c>
      <c r="R59" s="14">
        <v>22</v>
      </c>
      <c r="S59" s="16">
        <f t="shared" si="27"/>
        <v>69.739999999999995</v>
      </c>
      <c r="T59" s="2">
        <v>0</v>
      </c>
      <c r="U59" s="16">
        <f t="shared" ref="U59:U67" si="33">PRODUCT(R59,T59)</f>
        <v>0</v>
      </c>
      <c r="V59" s="2" t="s">
        <v>204</v>
      </c>
      <c r="W59" s="1">
        <v>0</v>
      </c>
      <c r="X59" s="2" t="s">
        <v>14</v>
      </c>
      <c r="Y59" s="17">
        <v>0</v>
      </c>
      <c r="Z59" s="16">
        <f t="shared" si="7"/>
        <v>0</v>
      </c>
      <c r="AA59" s="2">
        <v>0</v>
      </c>
      <c r="AB59" s="2">
        <f t="shared" si="32"/>
        <v>0</v>
      </c>
    </row>
    <row r="60" spans="1:28" ht="15.75" customHeight="1" x14ac:dyDescent="0.25">
      <c r="A60" s="12" t="s">
        <v>201</v>
      </c>
      <c r="B60" s="12" t="s">
        <v>1</v>
      </c>
      <c r="C60" s="12" t="s">
        <v>2</v>
      </c>
      <c r="D60" s="13" t="s">
        <v>3</v>
      </c>
      <c r="E60" s="12" t="s">
        <v>4</v>
      </c>
      <c r="F60" s="12" t="s">
        <v>5</v>
      </c>
      <c r="G60" s="12" t="s">
        <v>6</v>
      </c>
      <c r="H60" s="2" t="s">
        <v>202</v>
      </c>
      <c r="I60" s="1">
        <v>0</v>
      </c>
      <c r="J60" s="2" t="s">
        <v>55</v>
      </c>
      <c r="K60" s="14">
        <v>7.8</v>
      </c>
      <c r="L60" s="2">
        <f t="shared" si="4"/>
        <v>0</v>
      </c>
      <c r="M60" s="2">
        <v>0</v>
      </c>
      <c r="N60" s="16">
        <f t="shared" si="22"/>
        <v>0</v>
      </c>
      <c r="O60" s="16" t="s">
        <v>207</v>
      </c>
      <c r="P60" s="1">
        <v>0.3</v>
      </c>
      <c r="Q60" s="2" t="s">
        <v>11</v>
      </c>
      <c r="R60" s="14">
        <v>99</v>
      </c>
      <c r="S60" s="16">
        <f t="shared" si="27"/>
        <v>29.7</v>
      </c>
      <c r="T60" s="2">
        <v>0</v>
      </c>
      <c r="U60" s="16">
        <f t="shared" si="33"/>
        <v>0</v>
      </c>
      <c r="V60" s="2" t="s">
        <v>208</v>
      </c>
      <c r="W60" s="1">
        <v>0</v>
      </c>
      <c r="X60" s="2" t="s">
        <v>14</v>
      </c>
      <c r="Y60" s="17">
        <v>0</v>
      </c>
      <c r="Z60" s="16">
        <f t="shared" si="7"/>
        <v>0</v>
      </c>
      <c r="AA60" s="2">
        <v>0</v>
      </c>
      <c r="AB60" s="2">
        <f t="shared" si="32"/>
        <v>0</v>
      </c>
    </row>
    <row r="61" spans="1:28" ht="15.75" customHeight="1" x14ac:dyDescent="0.25">
      <c r="A61" s="16" t="s">
        <v>205</v>
      </c>
      <c r="B61" s="1">
        <v>9.6</v>
      </c>
      <c r="C61" s="16" t="s">
        <v>11</v>
      </c>
      <c r="D61" s="15">
        <v>25.9</v>
      </c>
      <c r="E61" s="2">
        <f t="shared" ref="E61:E69" si="34">B61*D61</f>
        <v>248.64</v>
      </c>
      <c r="F61" s="2">
        <v>0</v>
      </c>
      <c r="G61" s="2">
        <f t="shared" ref="G61:G62" si="35">PRODUCT(F61,D61)</f>
        <v>0</v>
      </c>
      <c r="H61" s="2" t="s">
        <v>206</v>
      </c>
      <c r="I61" s="1">
        <v>24</v>
      </c>
      <c r="J61" s="2" t="s">
        <v>14</v>
      </c>
      <c r="K61" s="14">
        <v>7.7</v>
      </c>
      <c r="L61" s="2">
        <f>I61*K61</f>
        <v>184.8</v>
      </c>
      <c r="M61" s="2">
        <v>0</v>
      </c>
      <c r="N61" s="16">
        <f t="shared" si="22"/>
        <v>0</v>
      </c>
      <c r="O61" s="16" t="s">
        <v>211</v>
      </c>
      <c r="P61" s="1">
        <v>0</v>
      </c>
      <c r="Q61" s="2" t="s">
        <v>11</v>
      </c>
      <c r="R61" s="14">
        <v>62</v>
      </c>
      <c r="S61" s="16">
        <f t="shared" si="27"/>
        <v>0</v>
      </c>
      <c r="T61" s="2">
        <v>0</v>
      </c>
      <c r="U61" s="16">
        <f t="shared" si="33"/>
        <v>0</v>
      </c>
      <c r="V61" s="2" t="s">
        <v>212</v>
      </c>
      <c r="W61" s="1">
        <v>2</v>
      </c>
      <c r="X61" s="2" t="s">
        <v>76</v>
      </c>
      <c r="Y61" s="17">
        <v>8.4600000000000009</v>
      </c>
      <c r="Z61" s="16">
        <f t="shared" si="7"/>
        <v>16.920000000000002</v>
      </c>
      <c r="AA61" s="16">
        <v>0</v>
      </c>
      <c r="AB61" s="2">
        <f t="shared" si="32"/>
        <v>0</v>
      </c>
    </row>
    <row r="62" spans="1:28" ht="15.75" customHeight="1" x14ac:dyDescent="0.25">
      <c r="A62" s="16" t="s">
        <v>209</v>
      </c>
      <c r="B62" s="1">
        <v>6.15</v>
      </c>
      <c r="C62" s="16" t="s">
        <v>11</v>
      </c>
      <c r="D62" s="15">
        <v>16.87</v>
      </c>
      <c r="E62" s="2">
        <f t="shared" si="34"/>
        <v>103.75050000000002</v>
      </c>
      <c r="F62" s="2">
        <v>0</v>
      </c>
      <c r="G62" s="2">
        <f t="shared" si="35"/>
        <v>0</v>
      </c>
      <c r="H62" s="2" t="s">
        <v>210</v>
      </c>
      <c r="I62" s="1">
        <v>0</v>
      </c>
      <c r="J62" s="2" t="s">
        <v>26</v>
      </c>
      <c r="K62" s="14">
        <v>38</v>
      </c>
      <c r="L62" s="2">
        <f t="shared" si="4"/>
        <v>0</v>
      </c>
      <c r="M62" s="2">
        <v>0</v>
      </c>
      <c r="N62" s="16">
        <f t="shared" si="22"/>
        <v>0</v>
      </c>
      <c r="O62" s="16" t="s">
        <v>215</v>
      </c>
      <c r="P62" s="1">
        <v>2.92</v>
      </c>
      <c r="Q62" s="2" t="s">
        <v>11</v>
      </c>
      <c r="R62" s="14">
        <v>35</v>
      </c>
      <c r="S62" s="16">
        <f>P62*R62</f>
        <v>102.2</v>
      </c>
      <c r="T62" s="2">
        <v>0</v>
      </c>
      <c r="U62" s="16">
        <f t="shared" si="33"/>
        <v>0</v>
      </c>
      <c r="V62" s="2" t="s">
        <v>863</v>
      </c>
      <c r="W62" s="1">
        <v>6</v>
      </c>
      <c r="X62" s="2" t="s">
        <v>76</v>
      </c>
      <c r="Y62" s="17">
        <v>8.9</v>
      </c>
      <c r="Z62" s="16">
        <f t="shared" si="7"/>
        <v>53.400000000000006</v>
      </c>
      <c r="AA62" s="16">
        <v>0</v>
      </c>
      <c r="AB62" s="2">
        <f t="shared" si="32"/>
        <v>0</v>
      </c>
    </row>
    <row r="63" spans="1:28" ht="15.75" customHeight="1" x14ac:dyDescent="0.25">
      <c r="A63" s="16" t="s">
        <v>213</v>
      </c>
      <c r="B63" s="40">
        <v>16.5</v>
      </c>
      <c r="C63" s="16" t="s">
        <v>11</v>
      </c>
      <c r="D63" s="15">
        <v>19.88</v>
      </c>
      <c r="E63" s="2">
        <f t="shared" si="34"/>
        <v>328.02</v>
      </c>
      <c r="F63" s="2">
        <v>0</v>
      </c>
      <c r="G63" s="2">
        <v>0</v>
      </c>
      <c r="H63" s="2" t="s">
        <v>214</v>
      </c>
      <c r="I63" s="1">
        <v>0</v>
      </c>
      <c r="J63" s="2" t="s">
        <v>14</v>
      </c>
      <c r="K63" s="14">
        <v>7.9</v>
      </c>
      <c r="L63" s="2">
        <f t="shared" si="4"/>
        <v>0</v>
      </c>
      <c r="M63" s="2">
        <v>0</v>
      </c>
      <c r="N63" s="16">
        <v>0</v>
      </c>
      <c r="O63" s="16" t="s">
        <v>218</v>
      </c>
      <c r="P63" s="1">
        <v>0.22</v>
      </c>
      <c r="Q63" s="2" t="s">
        <v>11</v>
      </c>
      <c r="R63" s="14">
        <v>50</v>
      </c>
      <c r="S63" s="16">
        <f t="shared" si="27"/>
        <v>11</v>
      </c>
      <c r="T63" s="2">
        <v>0</v>
      </c>
      <c r="U63" s="16">
        <f t="shared" si="33"/>
        <v>0</v>
      </c>
      <c r="V63" s="18" t="s">
        <v>219</v>
      </c>
      <c r="W63" s="19"/>
      <c r="X63" s="19"/>
      <c r="Y63" s="19"/>
      <c r="Z63" s="19"/>
      <c r="AA63" s="19"/>
      <c r="AB63" s="20"/>
    </row>
    <row r="64" spans="1:28" ht="15.75" customHeight="1" x14ac:dyDescent="0.25">
      <c r="A64" s="16" t="s">
        <v>216</v>
      </c>
      <c r="B64" s="1">
        <v>0</v>
      </c>
      <c r="C64" s="16" t="s">
        <v>11</v>
      </c>
      <c r="D64" s="15">
        <v>19.88</v>
      </c>
      <c r="E64" s="2">
        <f t="shared" si="34"/>
        <v>0</v>
      </c>
      <c r="F64" s="2">
        <v>0</v>
      </c>
      <c r="G64" s="2">
        <v>0</v>
      </c>
      <c r="H64" s="2" t="s">
        <v>217</v>
      </c>
      <c r="I64" s="1">
        <v>0.91</v>
      </c>
      <c r="J64" s="2" t="s">
        <v>11</v>
      </c>
      <c r="K64" s="14">
        <v>2.9</v>
      </c>
      <c r="L64" s="2">
        <f t="shared" si="4"/>
        <v>2.6389999999999998</v>
      </c>
      <c r="M64" s="2">
        <v>0</v>
      </c>
      <c r="N64" s="16">
        <f t="shared" ref="N64:N76" si="36">PRODUCT(K64,M64)</f>
        <v>0</v>
      </c>
      <c r="O64" s="16" t="s">
        <v>222</v>
      </c>
      <c r="P64" s="1">
        <v>0.37</v>
      </c>
      <c r="Q64" s="2" t="s">
        <v>11</v>
      </c>
      <c r="R64" s="14">
        <v>30</v>
      </c>
      <c r="S64" s="16">
        <f t="shared" si="27"/>
        <v>11.1</v>
      </c>
      <c r="T64" s="2">
        <v>0</v>
      </c>
      <c r="U64" s="16">
        <f t="shared" si="33"/>
        <v>0</v>
      </c>
      <c r="V64" s="33" t="s">
        <v>223</v>
      </c>
      <c r="W64" s="19"/>
      <c r="X64" s="19"/>
      <c r="Y64" s="20"/>
      <c r="Z64" s="34">
        <f>SUM(Z3:Z62)</f>
        <v>3757.9</v>
      </c>
      <c r="AA64" s="16"/>
      <c r="AB64" s="34">
        <f>SUM(AB3:AB62)</f>
        <v>0</v>
      </c>
    </row>
    <row r="65" spans="1:28" ht="15.75" customHeight="1" x14ac:dyDescent="0.25">
      <c r="A65" s="16" t="s">
        <v>220</v>
      </c>
      <c r="B65" s="1">
        <v>5</v>
      </c>
      <c r="C65" s="16" t="s">
        <v>11</v>
      </c>
      <c r="D65" s="15">
        <v>20.97</v>
      </c>
      <c r="E65" s="2">
        <f t="shared" si="34"/>
        <v>104.85</v>
      </c>
      <c r="F65" s="2">
        <v>0</v>
      </c>
      <c r="G65" s="2">
        <f t="shared" ref="G65:G66" si="37">PRODUCT(F65,D65)</f>
        <v>0</v>
      </c>
      <c r="H65" s="2" t="s">
        <v>221</v>
      </c>
      <c r="I65" s="1">
        <v>7.6</v>
      </c>
      <c r="J65" s="2" t="s">
        <v>11</v>
      </c>
      <c r="K65" s="14">
        <v>1.75</v>
      </c>
      <c r="L65" s="2">
        <f t="shared" si="4"/>
        <v>13.299999999999999</v>
      </c>
      <c r="M65" s="2">
        <v>0</v>
      </c>
      <c r="N65" s="16">
        <f t="shared" si="36"/>
        <v>0</v>
      </c>
      <c r="O65" s="16" t="s">
        <v>941</v>
      </c>
      <c r="P65" s="1">
        <v>1.76</v>
      </c>
      <c r="Q65" s="2" t="s">
        <v>11</v>
      </c>
      <c r="R65" s="14">
        <v>19</v>
      </c>
      <c r="S65" s="16">
        <f t="shared" si="27"/>
        <v>33.44</v>
      </c>
      <c r="T65" s="2">
        <v>0</v>
      </c>
      <c r="U65" s="16">
        <f t="shared" si="33"/>
        <v>0</v>
      </c>
      <c r="V65" s="18"/>
      <c r="W65" s="19"/>
      <c r="X65" s="19"/>
      <c r="Y65" s="19"/>
      <c r="Z65" s="19"/>
      <c r="AA65" s="19"/>
      <c r="AB65" s="20"/>
    </row>
    <row r="66" spans="1:28" ht="15.75" customHeight="1" x14ac:dyDescent="0.25">
      <c r="A66" s="16" t="s">
        <v>224</v>
      </c>
      <c r="B66" s="1">
        <v>0</v>
      </c>
      <c r="C66" s="16" t="s">
        <v>11</v>
      </c>
      <c r="D66" s="15">
        <v>14.12</v>
      </c>
      <c r="E66" s="2">
        <f t="shared" si="34"/>
        <v>0</v>
      </c>
      <c r="F66" s="2">
        <v>0</v>
      </c>
      <c r="G66" s="2">
        <f t="shared" si="37"/>
        <v>0</v>
      </c>
      <c r="H66" s="2" t="s">
        <v>225</v>
      </c>
      <c r="I66" s="1">
        <v>3</v>
      </c>
      <c r="J66" s="2" t="s">
        <v>26</v>
      </c>
      <c r="K66" s="14">
        <v>13.4</v>
      </c>
      <c r="L66" s="2">
        <f t="shared" si="4"/>
        <v>40.200000000000003</v>
      </c>
      <c r="M66" s="2">
        <v>0</v>
      </c>
      <c r="N66" s="16">
        <f t="shared" si="36"/>
        <v>0</v>
      </c>
      <c r="O66" s="16" t="s">
        <v>228</v>
      </c>
      <c r="P66" s="1">
        <v>0.31</v>
      </c>
      <c r="Q66" s="2" t="s">
        <v>11</v>
      </c>
      <c r="R66" s="14">
        <v>40.159999999999997</v>
      </c>
      <c r="S66" s="16">
        <f t="shared" si="27"/>
        <v>12.449599999999998</v>
      </c>
      <c r="T66" s="2">
        <v>0</v>
      </c>
      <c r="U66" s="16">
        <f t="shared" si="33"/>
        <v>0</v>
      </c>
      <c r="V66" s="12" t="s">
        <v>229</v>
      </c>
      <c r="W66" s="12" t="s">
        <v>1</v>
      </c>
      <c r="X66" s="12" t="s">
        <v>2</v>
      </c>
      <c r="Y66" s="12" t="s">
        <v>3</v>
      </c>
      <c r="Z66" s="12" t="s">
        <v>4</v>
      </c>
      <c r="AA66" s="12" t="s">
        <v>5</v>
      </c>
      <c r="AB66" s="12" t="s">
        <v>6</v>
      </c>
    </row>
    <row r="67" spans="1:28" ht="15.75" customHeight="1" x14ac:dyDescent="0.25">
      <c r="A67" s="16" t="s">
        <v>226</v>
      </c>
      <c r="B67" s="1">
        <v>0</v>
      </c>
      <c r="C67" s="16" t="s">
        <v>11</v>
      </c>
      <c r="D67" s="15">
        <v>42.9</v>
      </c>
      <c r="E67" s="2">
        <f t="shared" si="34"/>
        <v>0</v>
      </c>
      <c r="F67" s="2">
        <v>0</v>
      </c>
      <c r="G67" s="2">
        <v>0</v>
      </c>
      <c r="H67" s="2" t="s">
        <v>227</v>
      </c>
      <c r="I67" s="1">
        <v>4</v>
      </c>
      <c r="J67" s="2" t="s">
        <v>11</v>
      </c>
      <c r="K67" s="14">
        <v>11</v>
      </c>
      <c r="L67" s="2">
        <f t="shared" si="4"/>
        <v>44</v>
      </c>
      <c r="M67" s="2">
        <v>0</v>
      </c>
      <c r="N67" s="16">
        <f t="shared" si="36"/>
        <v>0</v>
      </c>
      <c r="O67" s="16" t="s">
        <v>232</v>
      </c>
      <c r="P67" s="1">
        <v>1</v>
      </c>
      <c r="Q67" s="2" t="s">
        <v>11</v>
      </c>
      <c r="R67" s="14">
        <v>79</v>
      </c>
      <c r="S67" s="16">
        <f t="shared" si="27"/>
        <v>79</v>
      </c>
      <c r="T67" s="2">
        <v>0</v>
      </c>
      <c r="U67" s="16">
        <f t="shared" si="33"/>
        <v>0</v>
      </c>
      <c r="V67" s="2" t="s">
        <v>233</v>
      </c>
      <c r="W67" s="1">
        <v>0</v>
      </c>
      <c r="X67" s="2" t="s">
        <v>14</v>
      </c>
      <c r="Y67" s="15">
        <v>17.899999999999999</v>
      </c>
      <c r="Z67" s="16">
        <f t="shared" ref="Z67:Z130" si="38">W67*Y67</f>
        <v>0</v>
      </c>
      <c r="AA67" s="2">
        <v>0</v>
      </c>
      <c r="AB67" s="2">
        <f t="shared" ref="AB67:AB68" si="39">Y67*AA67</f>
        <v>0</v>
      </c>
    </row>
    <row r="68" spans="1:28" ht="15.75" customHeight="1" x14ac:dyDescent="0.25">
      <c r="A68" s="16" t="s">
        <v>230</v>
      </c>
      <c r="B68" s="1">
        <v>0</v>
      </c>
      <c r="C68" s="16" t="s">
        <v>11</v>
      </c>
      <c r="D68" s="15">
        <v>14.89</v>
      </c>
      <c r="E68" s="2">
        <f t="shared" si="34"/>
        <v>0</v>
      </c>
      <c r="F68" s="2">
        <v>0</v>
      </c>
      <c r="G68" s="2">
        <f t="shared" ref="G68:G69" si="40">PRODUCT(F68,D68)</f>
        <v>0</v>
      </c>
      <c r="H68" s="2" t="s">
        <v>231</v>
      </c>
      <c r="I68" s="1">
        <v>25</v>
      </c>
      <c r="J68" s="2" t="s">
        <v>14</v>
      </c>
      <c r="K68" s="14">
        <v>18.55</v>
      </c>
      <c r="L68" s="2">
        <f t="shared" si="4"/>
        <v>463.75</v>
      </c>
      <c r="M68" s="2">
        <v>0</v>
      </c>
      <c r="N68" s="16">
        <f t="shared" si="36"/>
        <v>0</v>
      </c>
      <c r="O68" s="16" t="s">
        <v>236</v>
      </c>
      <c r="P68" s="1">
        <v>0</v>
      </c>
      <c r="Q68" s="2" t="s">
        <v>11</v>
      </c>
      <c r="R68" s="14">
        <v>75</v>
      </c>
      <c r="S68" s="16">
        <f t="shared" si="27"/>
        <v>0</v>
      </c>
      <c r="T68" s="2">
        <v>0</v>
      </c>
      <c r="U68" s="16">
        <v>0</v>
      </c>
      <c r="V68" s="16" t="s">
        <v>836</v>
      </c>
      <c r="W68" s="1">
        <v>15</v>
      </c>
      <c r="X68" s="16" t="s">
        <v>55</v>
      </c>
      <c r="Y68" s="17">
        <v>7.58</v>
      </c>
      <c r="Z68" s="16">
        <f t="shared" si="38"/>
        <v>113.7</v>
      </c>
      <c r="AA68" s="16">
        <v>0</v>
      </c>
      <c r="AB68" s="2">
        <f t="shared" si="39"/>
        <v>0</v>
      </c>
    </row>
    <row r="69" spans="1:28" ht="15.75" customHeight="1" x14ac:dyDescent="0.25">
      <c r="A69" s="2" t="s">
        <v>234</v>
      </c>
      <c r="B69" s="1">
        <v>0</v>
      </c>
      <c r="C69" s="16" t="s">
        <v>11</v>
      </c>
      <c r="D69" s="15">
        <v>18.79</v>
      </c>
      <c r="E69" s="2">
        <f t="shared" si="34"/>
        <v>0</v>
      </c>
      <c r="F69" s="2">
        <v>0</v>
      </c>
      <c r="G69" s="2">
        <f t="shared" si="40"/>
        <v>0</v>
      </c>
      <c r="H69" s="2" t="s">
        <v>235</v>
      </c>
      <c r="I69" s="1">
        <v>2</v>
      </c>
      <c r="J69" s="2" t="s">
        <v>14</v>
      </c>
      <c r="K69" s="14">
        <v>24.7</v>
      </c>
      <c r="L69" s="2">
        <f>I69*K69</f>
        <v>49.4</v>
      </c>
      <c r="M69" s="2">
        <v>0</v>
      </c>
      <c r="N69" s="16">
        <f t="shared" si="36"/>
        <v>0</v>
      </c>
      <c r="O69" s="16" t="s">
        <v>238</v>
      </c>
      <c r="P69" s="1">
        <v>0</v>
      </c>
      <c r="Q69" s="2" t="s">
        <v>11</v>
      </c>
      <c r="R69" s="14">
        <v>299.8</v>
      </c>
      <c r="S69" s="16">
        <f t="shared" si="27"/>
        <v>0</v>
      </c>
      <c r="T69" s="2">
        <v>0</v>
      </c>
      <c r="U69" s="16">
        <f>PRODUCT(R69,T69)</f>
        <v>0</v>
      </c>
      <c r="V69" s="16" t="s">
        <v>239</v>
      </c>
      <c r="W69" s="1">
        <v>0</v>
      </c>
      <c r="X69" s="16" t="s">
        <v>14</v>
      </c>
      <c r="Y69" s="17">
        <v>70</v>
      </c>
      <c r="Z69" s="16">
        <f t="shared" si="38"/>
        <v>0</v>
      </c>
      <c r="AA69" s="16">
        <v>0</v>
      </c>
      <c r="AB69" s="2">
        <v>0</v>
      </c>
    </row>
    <row r="70" spans="1:28" ht="15.75" customHeight="1" x14ac:dyDescent="0.25">
      <c r="A70" s="41"/>
      <c r="B70" s="19"/>
      <c r="C70" s="19"/>
      <c r="D70" s="19"/>
      <c r="E70" s="19"/>
      <c r="F70" s="19"/>
      <c r="G70" s="20"/>
      <c r="H70" s="2" t="s">
        <v>237</v>
      </c>
      <c r="I70" s="1">
        <v>0</v>
      </c>
      <c r="J70" s="2" t="s">
        <v>14</v>
      </c>
      <c r="K70" s="14">
        <v>1.97</v>
      </c>
      <c r="L70" s="2">
        <f t="shared" ref="L69:L76" si="41">I70*K70</f>
        <v>0</v>
      </c>
      <c r="M70" s="2">
        <v>0</v>
      </c>
      <c r="N70" s="16">
        <f t="shared" si="36"/>
        <v>0</v>
      </c>
      <c r="O70" s="18">
        <v>0</v>
      </c>
      <c r="P70" s="19"/>
      <c r="Q70" s="19"/>
      <c r="R70" s="19"/>
      <c r="S70" s="19"/>
      <c r="T70" s="19"/>
      <c r="U70" s="20"/>
      <c r="V70" s="16" t="s">
        <v>242</v>
      </c>
      <c r="W70" s="1">
        <v>0</v>
      </c>
      <c r="X70" s="16" t="s">
        <v>55</v>
      </c>
      <c r="Y70" s="17">
        <v>7.99</v>
      </c>
      <c r="Z70" s="16">
        <f t="shared" si="38"/>
        <v>0</v>
      </c>
      <c r="AA70" s="16">
        <v>0</v>
      </c>
      <c r="AB70" s="2">
        <f t="shared" ref="AB70:AB113" si="42">Y70*AA70</f>
        <v>0</v>
      </c>
    </row>
    <row r="71" spans="1:28" ht="15.75" customHeight="1" x14ac:dyDescent="0.25">
      <c r="A71" s="33" t="s">
        <v>240</v>
      </c>
      <c r="B71" s="19"/>
      <c r="C71" s="19"/>
      <c r="D71" s="20"/>
      <c r="E71" s="34">
        <f>SUM(E61:E69)</f>
        <v>785.26049999999998</v>
      </c>
      <c r="F71" s="16"/>
      <c r="G71" s="34">
        <f>SUM(G61:G69)</f>
        <v>0</v>
      </c>
      <c r="H71" s="2" t="s">
        <v>241</v>
      </c>
      <c r="I71" s="1">
        <v>0</v>
      </c>
      <c r="J71" s="2" t="s">
        <v>14</v>
      </c>
      <c r="K71" s="14">
        <v>1.97</v>
      </c>
      <c r="L71" s="2">
        <f t="shared" si="41"/>
        <v>0</v>
      </c>
      <c r="M71" s="2">
        <v>0</v>
      </c>
      <c r="N71" s="16">
        <f t="shared" si="36"/>
        <v>0</v>
      </c>
      <c r="O71" s="33" t="s">
        <v>160</v>
      </c>
      <c r="P71" s="19"/>
      <c r="Q71" s="19"/>
      <c r="R71" s="20"/>
      <c r="S71" s="34">
        <f>SUM(S48:S69)</f>
        <v>899.52060000000017</v>
      </c>
      <c r="T71" s="16"/>
      <c r="U71" s="34">
        <f>SUM(U51:U68)</f>
        <v>0</v>
      </c>
      <c r="V71" s="16" t="s">
        <v>244</v>
      </c>
      <c r="W71" s="1">
        <v>0</v>
      </c>
      <c r="X71" s="16" t="s">
        <v>14</v>
      </c>
      <c r="Y71" s="17">
        <v>25.16</v>
      </c>
      <c r="Z71" s="16">
        <f t="shared" si="38"/>
        <v>0</v>
      </c>
      <c r="AA71" s="16">
        <v>0</v>
      </c>
      <c r="AB71" s="2">
        <f t="shared" si="42"/>
        <v>0</v>
      </c>
    </row>
    <row r="72" spans="1:28" ht="15.75" customHeight="1" x14ac:dyDescent="0.25">
      <c r="A72" s="18"/>
      <c r="B72" s="19"/>
      <c r="C72" s="19"/>
      <c r="D72" s="19"/>
      <c r="E72" s="19"/>
      <c r="F72" s="19"/>
      <c r="G72" s="20"/>
      <c r="H72" s="2" t="s">
        <v>243</v>
      </c>
      <c r="I72" s="1">
        <v>4</v>
      </c>
      <c r="J72" s="2" t="s">
        <v>14</v>
      </c>
      <c r="K72" s="14">
        <v>1.9</v>
      </c>
      <c r="L72" s="2">
        <f t="shared" si="41"/>
        <v>7.6</v>
      </c>
      <c r="M72" s="2">
        <v>0</v>
      </c>
      <c r="N72" s="16">
        <f t="shared" si="36"/>
        <v>0</v>
      </c>
      <c r="O72" s="18"/>
      <c r="P72" s="19"/>
      <c r="Q72" s="19"/>
      <c r="R72" s="19"/>
      <c r="S72" s="19"/>
      <c r="T72" s="19"/>
      <c r="U72" s="20"/>
      <c r="V72" s="16" t="s">
        <v>246</v>
      </c>
      <c r="W72" s="1">
        <v>0</v>
      </c>
      <c r="X72" s="16" t="s">
        <v>14</v>
      </c>
      <c r="Y72" s="17">
        <v>397.5</v>
      </c>
      <c r="Z72" s="16">
        <f t="shared" si="38"/>
        <v>0</v>
      </c>
      <c r="AA72" s="16">
        <v>0</v>
      </c>
      <c r="AB72" s="2">
        <f t="shared" si="42"/>
        <v>0</v>
      </c>
    </row>
    <row r="73" spans="1:28" ht="15.75" customHeight="1" x14ac:dyDescent="0.25">
      <c r="D73" s="6"/>
      <c r="H73" s="2" t="s">
        <v>245</v>
      </c>
      <c r="I73" s="1">
        <v>1</v>
      </c>
      <c r="J73" s="2" t="s">
        <v>14</v>
      </c>
      <c r="K73" s="14">
        <v>16.21</v>
      </c>
      <c r="L73" s="2">
        <f>I73*K73</f>
        <v>16.21</v>
      </c>
      <c r="M73" s="2">
        <v>0</v>
      </c>
      <c r="N73" s="16">
        <f t="shared" si="36"/>
        <v>0</v>
      </c>
      <c r="V73" s="16" t="s">
        <v>248</v>
      </c>
      <c r="W73" s="1">
        <v>0</v>
      </c>
      <c r="X73" s="16" t="s">
        <v>14</v>
      </c>
      <c r="Y73" s="17">
        <v>225.3</v>
      </c>
      <c r="Z73" s="16">
        <f t="shared" si="38"/>
        <v>0</v>
      </c>
      <c r="AA73" s="16">
        <v>0</v>
      </c>
      <c r="AB73" s="2">
        <f t="shared" si="42"/>
        <v>0</v>
      </c>
    </row>
    <row r="74" spans="1:28" ht="15.75" customHeight="1" x14ac:dyDescent="0.25">
      <c r="A74" s="11" t="s">
        <v>956</v>
      </c>
      <c r="D74" s="6"/>
      <c r="H74" s="2" t="s">
        <v>247</v>
      </c>
      <c r="I74" s="1">
        <v>1</v>
      </c>
      <c r="J74" s="2" t="s">
        <v>14</v>
      </c>
      <c r="K74" s="14">
        <v>17.27</v>
      </c>
      <c r="L74" s="2">
        <f t="shared" si="41"/>
        <v>17.27</v>
      </c>
      <c r="M74" s="2">
        <v>0</v>
      </c>
      <c r="N74" s="16">
        <f t="shared" si="36"/>
        <v>0</v>
      </c>
      <c r="V74" s="16" t="s">
        <v>251</v>
      </c>
      <c r="W74" s="1">
        <v>5</v>
      </c>
      <c r="X74" s="16" t="s">
        <v>14</v>
      </c>
      <c r="Y74" s="17">
        <v>89</v>
      </c>
      <c r="Z74" s="16">
        <f t="shared" si="38"/>
        <v>445</v>
      </c>
      <c r="AA74" s="16">
        <v>0</v>
      </c>
      <c r="AB74" s="2">
        <f t="shared" si="42"/>
        <v>0</v>
      </c>
    </row>
    <row r="75" spans="1:28" ht="15.75" customHeight="1" x14ac:dyDescent="0.25">
      <c r="A75" s="42" t="s">
        <v>249</v>
      </c>
      <c r="B75" s="43"/>
      <c r="C75" s="6"/>
      <c r="D75" s="6"/>
      <c r="H75" s="2" t="s">
        <v>250</v>
      </c>
      <c r="I75" s="1">
        <v>0</v>
      </c>
      <c r="J75" s="2" t="s">
        <v>14</v>
      </c>
      <c r="K75" s="14">
        <v>0</v>
      </c>
      <c r="L75" s="2">
        <f t="shared" si="41"/>
        <v>0</v>
      </c>
      <c r="M75" s="2">
        <v>0</v>
      </c>
      <c r="N75" s="2">
        <f t="shared" si="36"/>
        <v>0</v>
      </c>
      <c r="V75" s="16" t="s">
        <v>254</v>
      </c>
      <c r="W75" s="1">
        <v>0</v>
      </c>
      <c r="X75" s="16" t="s">
        <v>14</v>
      </c>
      <c r="Y75" s="17">
        <v>1.58</v>
      </c>
      <c r="Z75" s="16">
        <f t="shared" si="38"/>
        <v>0</v>
      </c>
      <c r="AA75" s="16">
        <v>0</v>
      </c>
      <c r="AB75" s="2">
        <f t="shared" si="42"/>
        <v>0</v>
      </c>
    </row>
    <row r="76" spans="1:28" ht="15.75" customHeight="1" x14ac:dyDescent="0.25">
      <c r="A76" s="44" t="s">
        <v>252</v>
      </c>
      <c r="B76" s="44">
        <f>'Bebidas Álcoolicas'!E213</f>
        <v>38905.454999999987</v>
      </c>
      <c r="C76" s="6" t="s">
        <v>831</v>
      </c>
      <c r="D76" s="6"/>
      <c r="E76" s="6"/>
      <c r="F76" s="6"/>
      <c r="H76" s="2" t="s">
        <v>253</v>
      </c>
      <c r="I76" s="1">
        <v>0</v>
      </c>
      <c r="J76" s="2" t="s">
        <v>14</v>
      </c>
      <c r="K76" s="45">
        <v>0</v>
      </c>
      <c r="L76" s="2">
        <f t="shared" si="41"/>
        <v>0</v>
      </c>
      <c r="M76" s="2">
        <v>0</v>
      </c>
      <c r="N76" s="16">
        <f t="shared" si="36"/>
        <v>0</v>
      </c>
      <c r="V76" s="16" t="s">
        <v>256</v>
      </c>
      <c r="W76" s="1">
        <v>0</v>
      </c>
      <c r="X76" s="16" t="s">
        <v>14</v>
      </c>
      <c r="Y76" s="17">
        <v>7.98</v>
      </c>
      <c r="Z76" s="16">
        <f t="shared" si="38"/>
        <v>0</v>
      </c>
      <c r="AA76" s="16">
        <v>0</v>
      </c>
      <c r="AB76" s="2">
        <f t="shared" si="42"/>
        <v>0</v>
      </c>
    </row>
    <row r="77" spans="1:28" ht="15.75" customHeight="1" x14ac:dyDescent="0.25">
      <c r="A77" s="16" t="s">
        <v>255</v>
      </c>
      <c r="B77" s="16">
        <f>'Bebidas não Álcoolicas'!E72</f>
        <v>7234.5459999999985</v>
      </c>
      <c r="C77" s="6" t="s">
        <v>831</v>
      </c>
      <c r="D77" s="6"/>
      <c r="E77" s="6"/>
      <c r="F77" s="6"/>
      <c r="H77" s="18">
        <v>0</v>
      </c>
      <c r="I77" s="19"/>
      <c r="J77" s="19"/>
      <c r="K77" s="19"/>
      <c r="L77" s="19"/>
      <c r="M77" s="19"/>
      <c r="N77" s="20"/>
      <c r="V77" s="16" t="s">
        <v>258</v>
      </c>
      <c r="W77" s="1">
        <v>0</v>
      </c>
      <c r="X77" s="16" t="s">
        <v>14</v>
      </c>
      <c r="Y77" s="17">
        <v>16.989999999999998</v>
      </c>
      <c r="Z77" s="16">
        <f t="shared" si="38"/>
        <v>0</v>
      </c>
      <c r="AA77" s="16">
        <v>0</v>
      </c>
      <c r="AB77" s="2">
        <f t="shared" si="42"/>
        <v>0</v>
      </c>
    </row>
    <row r="78" spans="1:28" ht="15.75" customHeight="1" x14ac:dyDescent="0.25">
      <c r="A78" s="16" t="s">
        <v>257</v>
      </c>
      <c r="B78" s="16">
        <f>S11</f>
        <v>2070.5655999999999</v>
      </c>
      <c r="C78" s="6" t="s">
        <v>831</v>
      </c>
      <c r="D78" s="6"/>
      <c r="H78" s="33"/>
      <c r="I78" s="19"/>
      <c r="J78" s="19"/>
      <c r="K78" s="19"/>
      <c r="L78" s="2">
        <f>SUM(L3:L76)</f>
        <v>6331.5970000000016</v>
      </c>
      <c r="M78" s="16"/>
      <c r="N78" s="46">
        <f>SUM(N6:N76)</f>
        <v>0</v>
      </c>
      <c r="V78" s="16" t="s">
        <v>260</v>
      </c>
      <c r="W78" s="1">
        <v>5</v>
      </c>
      <c r="X78" s="16" t="s">
        <v>14</v>
      </c>
      <c r="Y78" s="17">
        <v>10.33</v>
      </c>
      <c r="Z78" s="16">
        <f t="shared" si="38"/>
        <v>51.65</v>
      </c>
      <c r="AA78" s="16">
        <v>0</v>
      </c>
      <c r="AB78" s="2">
        <f t="shared" si="42"/>
        <v>0</v>
      </c>
    </row>
    <row r="79" spans="1:28" ht="15.75" customHeight="1" x14ac:dyDescent="0.25">
      <c r="A79" s="16" t="s">
        <v>259</v>
      </c>
      <c r="B79" s="16">
        <f>E40</f>
        <v>0</v>
      </c>
      <c r="C79" s="6" t="s">
        <v>831</v>
      </c>
      <c r="D79" s="6" t="s">
        <v>832</v>
      </c>
      <c r="E79" s="11">
        <f>B78+B79+B81+B82+B83+B85+B86+B87+B88+B89+B90+B91+B92</f>
        <v>24526.586300000003</v>
      </c>
      <c r="G79" s="11">
        <v>-9072.0356999999931</v>
      </c>
      <c r="H79" s="18"/>
      <c r="I79" s="19"/>
      <c r="J79" s="19"/>
      <c r="K79" s="19"/>
      <c r="L79" s="19"/>
      <c r="M79" s="19"/>
      <c r="N79" s="20"/>
      <c r="V79" s="16" t="s">
        <v>262</v>
      </c>
      <c r="W79" s="1">
        <v>0</v>
      </c>
      <c r="X79" s="16" t="s">
        <v>14</v>
      </c>
      <c r="Y79" s="17">
        <v>19.63</v>
      </c>
      <c r="Z79" s="16">
        <f t="shared" si="38"/>
        <v>0</v>
      </c>
      <c r="AA79" s="16">
        <v>0</v>
      </c>
      <c r="AB79" s="2">
        <f t="shared" si="42"/>
        <v>0</v>
      </c>
    </row>
    <row r="80" spans="1:28" ht="15.75" customHeight="1" x14ac:dyDescent="0.25">
      <c r="A80" s="2" t="s">
        <v>261</v>
      </c>
      <c r="B80" s="2">
        <f>Z64</f>
        <v>3757.9</v>
      </c>
      <c r="C80" s="6" t="s">
        <v>831</v>
      </c>
      <c r="D80" s="6" t="s">
        <v>833</v>
      </c>
      <c r="E80" s="11">
        <f>B76</f>
        <v>38905.454999999987</v>
      </c>
      <c r="V80" s="16" t="s">
        <v>264</v>
      </c>
      <c r="W80" s="1">
        <v>0</v>
      </c>
      <c r="X80" s="16" t="s">
        <v>14</v>
      </c>
      <c r="Y80" s="17">
        <v>16.57</v>
      </c>
      <c r="Z80" s="16">
        <f t="shared" si="38"/>
        <v>0</v>
      </c>
      <c r="AA80" s="16">
        <v>0</v>
      </c>
      <c r="AB80" s="2">
        <f t="shared" si="42"/>
        <v>0</v>
      </c>
    </row>
    <row r="81" spans="1:28" ht="15.75" customHeight="1" x14ac:dyDescent="0.25">
      <c r="A81" s="47" t="s">
        <v>263</v>
      </c>
      <c r="B81" s="31">
        <f>E71</f>
        <v>785.26049999999998</v>
      </c>
      <c r="C81" s="6" t="s">
        <v>831</v>
      </c>
      <c r="D81" s="6" t="s">
        <v>834</v>
      </c>
      <c r="E81" s="11">
        <f>B77</f>
        <v>7234.5459999999985</v>
      </c>
      <c r="V81" s="16" t="s">
        <v>266</v>
      </c>
      <c r="W81" s="1">
        <v>0</v>
      </c>
      <c r="X81" s="16" t="s">
        <v>14</v>
      </c>
      <c r="Y81" s="17">
        <v>31.86</v>
      </c>
      <c r="Z81" s="16">
        <f t="shared" si="38"/>
        <v>0</v>
      </c>
      <c r="AA81" s="16">
        <v>0</v>
      </c>
      <c r="AB81" s="2">
        <f t="shared" si="42"/>
        <v>0</v>
      </c>
    </row>
    <row r="82" spans="1:28" ht="15.75" customHeight="1" x14ac:dyDescent="0.25">
      <c r="A82" s="2" t="s">
        <v>265</v>
      </c>
      <c r="B82" s="2">
        <f>Hortifruti!E107</f>
        <v>1349.4322</v>
      </c>
      <c r="C82" s="6" t="s">
        <v>831</v>
      </c>
      <c r="D82" s="6"/>
      <c r="E82" s="11">
        <f>SUM(E79:E81)</f>
        <v>70666.587299999985</v>
      </c>
      <c r="V82" s="16" t="s">
        <v>268</v>
      </c>
      <c r="W82" s="1">
        <v>0</v>
      </c>
      <c r="X82" s="16" t="s">
        <v>55</v>
      </c>
      <c r="Y82" s="17">
        <v>41</v>
      </c>
      <c r="Z82" s="16">
        <f t="shared" si="38"/>
        <v>0</v>
      </c>
      <c r="AA82" s="16">
        <v>0</v>
      </c>
      <c r="AB82" s="2">
        <f t="shared" si="42"/>
        <v>0</v>
      </c>
    </row>
    <row r="83" spans="1:28" ht="15.75" customHeight="1" x14ac:dyDescent="0.25">
      <c r="A83" s="2" t="s">
        <v>267</v>
      </c>
      <c r="B83" s="2">
        <f>S45</f>
        <v>1954.4976000000001</v>
      </c>
      <c r="C83" s="6" t="s">
        <v>831</v>
      </c>
      <c r="D83" s="6"/>
      <c r="V83" s="16" t="s">
        <v>270</v>
      </c>
      <c r="W83" s="1">
        <v>2</v>
      </c>
      <c r="X83" s="16" t="s">
        <v>14</v>
      </c>
      <c r="Y83" s="17">
        <v>78.510000000000005</v>
      </c>
      <c r="Z83" s="16">
        <f t="shared" si="38"/>
        <v>157.02000000000001</v>
      </c>
      <c r="AA83" s="16">
        <v>0</v>
      </c>
      <c r="AB83" s="2">
        <f t="shared" si="42"/>
        <v>0</v>
      </c>
    </row>
    <row r="84" spans="1:28" ht="15.75" customHeight="1" x14ac:dyDescent="0.25">
      <c r="A84" s="2" t="s">
        <v>269</v>
      </c>
      <c r="B84" s="2">
        <f>Z144</f>
        <v>4256.8700000000008</v>
      </c>
      <c r="C84" s="6" t="s">
        <v>831</v>
      </c>
      <c r="D84" s="6" t="s">
        <v>835</v>
      </c>
      <c r="E84" s="11">
        <f>B80+B84</f>
        <v>8014.77</v>
      </c>
      <c r="V84" s="16" t="s">
        <v>272</v>
      </c>
      <c r="W84" s="1">
        <v>0</v>
      </c>
      <c r="X84" s="16" t="s">
        <v>14</v>
      </c>
      <c r="Y84" s="17">
        <v>95</v>
      </c>
      <c r="Z84" s="16">
        <f t="shared" si="38"/>
        <v>0</v>
      </c>
      <c r="AA84" s="16">
        <v>0</v>
      </c>
      <c r="AB84" s="2">
        <f t="shared" si="42"/>
        <v>0</v>
      </c>
    </row>
    <row r="85" spans="1:28" ht="15.75" customHeight="1" x14ac:dyDescent="0.25">
      <c r="A85" s="31" t="s">
        <v>271</v>
      </c>
      <c r="B85" s="31">
        <f>Massas!E49</f>
        <v>1058.5600000000002</v>
      </c>
      <c r="C85" s="6" t="s">
        <v>831</v>
      </c>
      <c r="D85" s="6"/>
      <c r="V85" s="16" t="s">
        <v>274</v>
      </c>
      <c r="W85" s="1">
        <v>0</v>
      </c>
      <c r="X85" s="16" t="s">
        <v>14</v>
      </c>
      <c r="Y85" s="17">
        <v>103</v>
      </c>
      <c r="Z85" s="16">
        <f t="shared" si="38"/>
        <v>0</v>
      </c>
      <c r="AA85" s="16">
        <v>0</v>
      </c>
      <c r="AB85" s="2">
        <f t="shared" si="42"/>
        <v>0</v>
      </c>
    </row>
    <row r="86" spans="1:28" ht="15.75" customHeight="1" x14ac:dyDescent="0.25">
      <c r="A86" s="48" t="s">
        <v>273</v>
      </c>
      <c r="B86" s="44">
        <f>L78</f>
        <v>6331.5970000000016</v>
      </c>
      <c r="C86" s="6" t="s">
        <v>831</v>
      </c>
      <c r="D86" s="6"/>
      <c r="V86" s="16" t="s">
        <v>276</v>
      </c>
      <c r="W86" s="1">
        <v>0</v>
      </c>
      <c r="X86" s="16" t="s">
        <v>14</v>
      </c>
      <c r="Y86" s="17">
        <v>35.9</v>
      </c>
      <c r="Z86" s="16">
        <f t="shared" si="38"/>
        <v>0</v>
      </c>
      <c r="AA86" s="16">
        <v>0</v>
      </c>
      <c r="AB86" s="2">
        <f t="shared" si="42"/>
        <v>0</v>
      </c>
    </row>
    <row r="87" spans="1:28" ht="15.75" customHeight="1" x14ac:dyDescent="0.25">
      <c r="A87" s="48" t="s">
        <v>275</v>
      </c>
      <c r="B87" s="31">
        <f>Molhos!E30</f>
        <v>443.92930000000001</v>
      </c>
      <c r="C87" s="6" t="s">
        <v>831</v>
      </c>
      <c r="D87" s="6"/>
      <c r="E87" s="6">
        <f>E82+E84</f>
        <v>78681.357299999989</v>
      </c>
      <c r="F87" s="6"/>
      <c r="V87" s="16" t="s">
        <v>278</v>
      </c>
      <c r="W87" s="1">
        <v>0</v>
      </c>
      <c r="X87" s="16" t="s">
        <v>14</v>
      </c>
      <c r="Y87" s="17">
        <v>23.84</v>
      </c>
      <c r="Z87" s="16">
        <f t="shared" si="38"/>
        <v>0</v>
      </c>
      <c r="AA87" s="16">
        <v>0</v>
      </c>
      <c r="AB87" s="2">
        <f t="shared" si="42"/>
        <v>0</v>
      </c>
    </row>
    <row r="88" spans="1:28" ht="15.75" customHeight="1" x14ac:dyDescent="0.25">
      <c r="A88" s="16" t="s">
        <v>277</v>
      </c>
      <c r="B88" s="2">
        <f>Porcionados!E117</f>
        <v>3895.2690000000002</v>
      </c>
      <c r="C88" s="6" t="s">
        <v>831</v>
      </c>
      <c r="D88" s="6"/>
      <c r="E88" s="6"/>
      <c r="F88" s="6"/>
      <c r="V88" s="16" t="s">
        <v>280</v>
      </c>
      <c r="W88" s="1">
        <v>0</v>
      </c>
      <c r="X88" s="16" t="s">
        <v>14</v>
      </c>
      <c r="Y88" s="17">
        <v>0</v>
      </c>
      <c r="Z88" s="16">
        <f t="shared" si="38"/>
        <v>0</v>
      </c>
      <c r="AA88" s="16">
        <v>0</v>
      </c>
      <c r="AB88" s="2">
        <f t="shared" si="42"/>
        <v>0</v>
      </c>
    </row>
    <row r="89" spans="1:28" ht="15.75" customHeight="1" x14ac:dyDescent="0.25">
      <c r="A89" s="48" t="s">
        <v>279</v>
      </c>
      <c r="B89" s="44">
        <f>E34</f>
        <v>4985.8345000000008</v>
      </c>
      <c r="C89" s="6" t="s">
        <v>831</v>
      </c>
      <c r="D89" s="6"/>
      <c r="V89" s="16" t="s">
        <v>281</v>
      </c>
      <c r="W89" s="1">
        <v>0</v>
      </c>
      <c r="X89" s="16" t="s">
        <v>14</v>
      </c>
      <c r="Y89" s="17">
        <v>204</v>
      </c>
      <c r="Z89" s="16">
        <f t="shared" si="38"/>
        <v>0</v>
      </c>
      <c r="AA89" s="16">
        <v>0</v>
      </c>
      <c r="AB89" s="2">
        <f t="shared" si="42"/>
        <v>0</v>
      </c>
    </row>
    <row r="90" spans="1:28" ht="15.75" customHeight="1" x14ac:dyDescent="0.25">
      <c r="A90" s="48" t="s">
        <v>148</v>
      </c>
      <c r="B90" s="44">
        <f>E51</f>
        <v>752.12000000000012</v>
      </c>
      <c r="C90" s="6" t="s">
        <v>831</v>
      </c>
      <c r="D90" s="6"/>
      <c r="V90" s="16" t="s">
        <v>283</v>
      </c>
      <c r="W90" s="1">
        <v>0</v>
      </c>
      <c r="X90" s="16" t="s">
        <v>55</v>
      </c>
      <c r="Y90" s="17">
        <v>20.2</v>
      </c>
      <c r="Z90" s="16">
        <f t="shared" si="38"/>
        <v>0</v>
      </c>
      <c r="AA90" s="16">
        <v>0</v>
      </c>
      <c r="AB90" s="2">
        <f t="shared" si="42"/>
        <v>0</v>
      </c>
    </row>
    <row r="91" spans="1:28" ht="15.75" customHeight="1" x14ac:dyDescent="0.25">
      <c r="A91" s="48" t="s">
        <v>282</v>
      </c>
      <c r="B91" s="44">
        <f>E58</f>
        <v>0</v>
      </c>
      <c r="C91" s="6" t="s">
        <v>831</v>
      </c>
      <c r="D91" s="6"/>
      <c r="V91" s="16" t="s">
        <v>285</v>
      </c>
      <c r="W91" s="1">
        <v>0</v>
      </c>
      <c r="X91" s="16" t="s">
        <v>14</v>
      </c>
      <c r="Y91" s="17">
        <v>14.99</v>
      </c>
      <c r="Z91" s="16">
        <f t="shared" si="38"/>
        <v>0</v>
      </c>
      <c r="AA91" s="16">
        <v>0</v>
      </c>
      <c r="AB91" s="2">
        <f t="shared" si="42"/>
        <v>0</v>
      </c>
    </row>
    <row r="92" spans="1:28" ht="15.75" customHeight="1" x14ac:dyDescent="0.25">
      <c r="A92" s="16" t="s">
        <v>284</v>
      </c>
      <c r="B92" s="16">
        <f>S71</f>
        <v>899.52060000000017</v>
      </c>
      <c r="C92" s="6" t="s">
        <v>831</v>
      </c>
      <c r="D92" s="6"/>
      <c r="V92" s="16" t="s">
        <v>287</v>
      </c>
      <c r="W92" s="1">
        <v>0</v>
      </c>
      <c r="X92" s="16" t="s">
        <v>14</v>
      </c>
      <c r="Y92" s="17">
        <v>2.12</v>
      </c>
      <c r="Z92" s="16">
        <f t="shared" si="38"/>
        <v>0</v>
      </c>
      <c r="AA92" s="16">
        <v>0</v>
      </c>
      <c r="AB92" s="2">
        <f t="shared" si="42"/>
        <v>0</v>
      </c>
    </row>
    <row r="93" spans="1:28" ht="15.75" customHeight="1" x14ac:dyDescent="0.25">
      <c r="A93" s="34" t="s">
        <v>286</v>
      </c>
      <c r="B93" s="34">
        <f>SUM(B76:B92)</f>
        <v>78681.357300000003</v>
      </c>
      <c r="C93" s="6"/>
      <c r="D93" s="6"/>
      <c r="V93" s="16" t="s">
        <v>288</v>
      </c>
      <c r="W93" s="1">
        <v>0</v>
      </c>
      <c r="X93" s="16" t="s">
        <v>14</v>
      </c>
      <c r="Y93" s="17">
        <v>2.5</v>
      </c>
      <c r="Z93" s="16">
        <f t="shared" si="38"/>
        <v>0</v>
      </c>
      <c r="AA93" s="16">
        <v>0</v>
      </c>
      <c r="AB93" s="2">
        <f t="shared" si="42"/>
        <v>0</v>
      </c>
    </row>
    <row r="94" spans="1:28" ht="15.75" customHeight="1" x14ac:dyDescent="0.25">
      <c r="D94" s="6"/>
      <c r="V94" s="16" t="s">
        <v>290</v>
      </c>
      <c r="W94" s="1">
        <v>20</v>
      </c>
      <c r="X94" s="16" t="s">
        <v>14</v>
      </c>
      <c r="Y94" s="17">
        <v>0.74</v>
      </c>
      <c r="Z94" s="16">
        <f t="shared" si="38"/>
        <v>14.8</v>
      </c>
      <c r="AA94" s="16">
        <v>0</v>
      </c>
      <c r="AB94" s="2">
        <f t="shared" si="42"/>
        <v>0</v>
      </c>
    </row>
    <row r="95" spans="1:28" ht="15.75" customHeight="1" x14ac:dyDescent="0.25">
      <c r="A95" s="49" t="s">
        <v>289</v>
      </c>
      <c r="B95" s="49">
        <f>Perda!D3</f>
        <v>0</v>
      </c>
      <c r="D95" s="6"/>
      <c r="V95" s="16" t="s">
        <v>291</v>
      </c>
      <c r="W95" s="1">
        <v>9</v>
      </c>
      <c r="X95" s="16" t="s">
        <v>14</v>
      </c>
      <c r="Y95" s="17">
        <v>1.93</v>
      </c>
      <c r="Z95" s="16">
        <f t="shared" si="38"/>
        <v>17.37</v>
      </c>
      <c r="AA95" s="16">
        <v>0</v>
      </c>
      <c r="AB95" s="2">
        <f t="shared" si="42"/>
        <v>0</v>
      </c>
    </row>
    <row r="96" spans="1:28" ht="15.75" customHeight="1" x14ac:dyDescent="0.25">
      <c r="D96" s="6"/>
      <c r="V96" s="16" t="s">
        <v>292</v>
      </c>
      <c r="W96" s="1">
        <v>0</v>
      </c>
      <c r="X96" s="16" t="s">
        <v>14</v>
      </c>
      <c r="Y96" s="17">
        <v>32</v>
      </c>
      <c r="Z96" s="16">
        <f t="shared" si="38"/>
        <v>0</v>
      </c>
      <c r="AA96" s="16">
        <v>0</v>
      </c>
      <c r="AB96" s="2">
        <f t="shared" si="42"/>
        <v>0</v>
      </c>
    </row>
    <row r="97" spans="4:28" ht="15.75" customHeight="1" x14ac:dyDescent="0.25">
      <c r="D97" s="6"/>
      <c r="V97" s="16" t="s">
        <v>293</v>
      </c>
      <c r="W97" s="1">
        <v>2</v>
      </c>
      <c r="X97" s="16" t="s">
        <v>14</v>
      </c>
      <c r="Y97" s="17">
        <v>95</v>
      </c>
      <c r="Z97" s="16">
        <f t="shared" si="38"/>
        <v>190</v>
      </c>
      <c r="AA97" s="16">
        <v>0</v>
      </c>
      <c r="AB97" s="2">
        <f t="shared" si="42"/>
        <v>0</v>
      </c>
    </row>
    <row r="98" spans="4:28" ht="15.75" customHeight="1" x14ac:dyDescent="0.25">
      <c r="D98" s="6"/>
      <c r="V98" s="16" t="s">
        <v>294</v>
      </c>
      <c r="W98" s="1">
        <v>1</v>
      </c>
      <c r="X98" s="16" t="s">
        <v>14</v>
      </c>
      <c r="Y98" s="17">
        <v>435.3</v>
      </c>
      <c r="Z98" s="16">
        <f t="shared" si="38"/>
        <v>435.3</v>
      </c>
      <c r="AA98" s="16">
        <v>0</v>
      </c>
      <c r="AB98" s="2">
        <f t="shared" si="42"/>
        <v>0</v>
      </c>
    </row>
    <row r="99" spans="4:28" ht="15.75" customHeight="1" x14ac:dyDescent="0.25">
      <c r="D99" s="6"/>
      <c r="V99" s="16" t="s">
        <v>295</v>
      </c>
      <c r="W99" s="1">
        <v>6</v>
      </c>
      <c r="X99" s="16" t="s">
        <v>14</v>
      </c>
      <c r="Y99" s="17">
        <v>88.42</v>
      </c>
      <c r="Z99" s="16">
        <f t="shared" si="38"/>
        <v>530.52</v>
      </c>
      <c r="AA99" s="16">
        <v>0</v>
      </c>
      <c r="AB99" s="2">
        <f t="shared" si="42"/>
        <v>0</v>
      </c>
    </row>
    <row r="100" spans="4:28" ht="15.75" customHeight="1" x14ac:dyDescent="0.25">
      <c r="D100" s="6"/>
      <c r="V100" s="16" t="s">
        <v>296</v>
      </c>
      <c r="W100" s="1">
        <v>0</v>
      </c>
      <c r="X100" s="16" t="s">
        <v>14</v>
      </c>
      <c r="Y100" s="17">
        <v>688.96</v>
      </c>
      <c r="Z100" s="16">
        <f t="shared" si="38"/>
        <v>0</v>
      </c>
      <c r="AA100" s="16">
        <v>0</v>
      </c>
      <c r="AB100" s="2">
        <f t="shared" si="42"/>
        <v>0</v>
      </c>
    </row>
    <row r="101" spans="4:28" ht="15.75" customHeight="1" x14ac:dyDescent="0.25">
      <c r="D101" s="6"/>
      <c r="V101" s="16" t="s">
        <v>297</v>
      </c>
      <c r="W101" s="1">
        <v>0</v>
      </c>
      <c r="X101" s="16" t="s">
        <v>14</v>
      </c>
      <c r="Y101" s="17">
        <v>397.5</v>
      </c>
      <c r="Z101" s="16">
        <f t="shared" si="38"/>
        <v>0</v>
      </c>
      <c r="AA101" s="16">
        <v>0</v>
      </c>
      <c r="AB101" s="2">
        <f t="shared" si="42"/>
        <v>0</v>
      </c>
    </row>
    <row r="102" spans="4:28" ht="15.75" customHeight="1" x14ac:dyDescent="0.25">
      <c r="D102" s="6"/>
      <c r="V102" s="16" t="s">
        <v>298</v>
      </c>
      <c r="W102" s="1">
        <v>0</v>
      </c>
      <c r="X102" s="16" t="s">
        <v>14</v>
      </c>
      <c r="Y102" s="17">
        <v>0</v>
      </c>
      <c r="Z102" s="16">
        <f t="shared" si="38"/>
        <v>0</v>
      </c>
      <c r="AA102" s="16">
        <v>0</v>
      </c>
      <c r="AB102" s="2">
        <f t="shared" si="42"/>
        <v>0</v>
      </c>
    </row>
    <row r="103" spans="4:28" ht="15.75" customHeight="1" x14ac:dyDescent="0.25">
      <c r="D103" s="6"/>
      <c r="V103" s="16" t="s">
        <v>299</v>
      </c>
      <c r="W103" s="1">
        <v>0</v>
      </c>
      <c r="X103" s="16" t="s">
        <v>14</v>
      </c>
      <c r="Y103" s="17">
        <v>12.58</v>
      </c>
      <c r="Z103" s="16">
        <f t="shared" si="38"/>
        <v>0</v>
      </c>
      <c r="AA103" s="16">
        <v>0</v>
      </c>
      <c r="AB103" s="2">
        <f t="shared" si="42"/>
        <v>0</v>
      </c>
    </row>
    <row r="104" spans="4:28" ht="15.75" customHeight="1" x14ac:dyDescent="0.25">
      <c r="D104" s="6"/>
      <c r="V104" s="16" t="s">
        <v>300</v>
      </c>
      <c r="W104" s="1">
        <v>0</v>
      </c>
      <c r="X104" s="16" t="s">
        <v>14</v>
      </c>
      <c r="Y104" s="17">
        <v>0</v>
      </c>
      <c r="Z104" s="16">
        <f t="shared" si="38"/>
        <v>0</v>
      </c>
      <c r="AA104" s="16">
        <v>0</v>
      </c>
      <c r="AB104" s="2">
        <f t="shared" si="42"/>
        <v>0</v>
      </c>
    </row>
    <row r="105" spans="4:28" ht="15.75" customHeight="1" x14ac:dyDescent="0.25">
      <c r="D105" s="6"/>
      <c r="V105" s="16" t="s">
        <v>301</v>
      </c>
      <c r="W105" s="1">
        <v>0</v>
      </c>
      <c r="X105" s="16" t="s">
        <v>14</v>
      </c>
      <c r="Y105" s="17">
        <v>6.2</v>
      </c>
      <c r="Z105" s="16">
        <f t="shared" si="38"/>
        <v>0</v>
      </c>
      <c r="AA105" s="16">
        <v>0</v>
      </c>
      <c r="AB105" s="2">
        <f t="shared" si="42"/>
        <v>0</v>
      </c>
    </row>
    <row r="106" spans="4:28" ht="15.75" customHeight="1" x14ac:dyDescent="0.25">
      <c r="D106" s="6"/>
      <c r="V106" s="16" t="s">
        <v>856</v>
      </c>
      <c r="W106" s="1">
        <v>0</v>
      </c>
      <c r="X106" s="16" t="s">
        <v>14</v>
      </c>
      <c r="Y106" s="17">
        <v>8.42</v>
      </c>
      <c r="Z106" s="16">
        <f t="shared" si="38"/>
        <v>0</v>
      </c>
      <c r="AA106" s="16">
        <v>0</v>
      </c>
      <c r="AB106" s="2">
        <f t="shared" si="42"/>
        <v>0</v>
      </c>
    </row>
    <row r="107" spans="4:28" ht="15.75" customHeight="1" x14ac:dyDescent="0.25">
      <c r="D107" s="6"/>
      <c r="V107" s="16" t="s">
        <v>302</v>
      </c>
      <c r="W107" s="1">
        <v>19</v>
      </c>
      <c r="X107" s="16" t="s">
        <v>14</v>
      </c>
      <c r="Y107" s="17">
        <v>5.56</v>
      </c>
      <c r="Z107" s="16">
        <f t="shared" si="38"/>
        <v>105.63999999999999</v>
      </c>
      <c r="AA107" s="16">
        <v>0</v>
      </c>
      <c r="AB107" s="2">
        <f t="shared" si="42"/>
        <v>0</v>
      </c>
    </row>
    <row r="108" spans="4:28" ht="15.75" customHeight="1" x14ac:dyDescent="0.25">
      <c r="D108" s="6"/>
      <c r="V108" s="16" t="s">
        <v>303</v>
      </c>
      <c r="W108" s="1">
        <v>7</v>
      </c>
      <c r="X108" s="16" t="s">
        <v>14</v>
      </c>
      <c r="Y108" s="17">
        <v>9.9700000000000006</v>
      </c>
      <c r="Z108" s="16">
        <f t="shared" si="38"/>
        <v>69.790000000000006</v>
      </c>
      <c r="AA108" s="16">
        <v>0</v>
      </c>
      <c r="AB108" s="2">
        <f t="shared" si="42"/>
        <v>0</v>
      </c>
    </row>
    <row r="109" spans="4:28" ht="15.75" customHeight="1" x14ac:dyDescent="0.25">
      <c r="D109" s="6"/>
      <c r="V109" s="16" t="s">
        <v>304</v>
      </c>
      <c r="W109" s="1">
        <v>1</v>
      </c>
      <c r="X109" s="16" t="s">
        <v>14</v>
      </c>
      <c r="Y109" s="17">
        <v>39.32</v>
      </c>
      <c r="Z109" s="16">
        <f t="shared" si="38"/>
        <v>39.32</v>
      </c>
      <c r="AA109" s="16">
        <v>0</v>
      </c>
      <c r="AB109" s="2">
        <f t="shared" si="42"/>
        <v>0</v>
      </c>
    </row>
    <row r="110" spans="4:28" ht="15.75" customHeight="1" x14ac:dyDescent="0.25">
      <c r="D110" s="6"/>
      <c r="V110" s="16" t="s">
        <v>305</v>
      </c>
      <c r="W110" s="1">
        <v>0</v>
      </c>
      <c r="X110" s="16" t="s">
        <v>26</v>
      </c>
      <c r="Y110" s="17">
        <v>20.89</v>
      </c>
      <c r="Z110" s="16">
        <f t="shared" si="38"/>
        <v>0</v>
      </c>
      <c r="AA110" s="16">
        <v>0</v>
      </c>
      <c r="AB110" s="2">
        <f t="shared" si="42"/>
        <v>0</v>
      </c>
    </row>
    <row r="111" spans="4:28" ht="15.75" customHeight="1" x14ac:dyDescent="0.25">
      <c r="D111" s="6"/>
      <c r="V111" s="16" t="s">
        <v>306</v>
      </c>
      <c r="W111" s="1">
        <v>2</v>
      </c>
      <c r="X111" s="16" t="s">
        <v>14</v>
      </c>
      <c r="Y111" s="17">
        <v>3.02</v>
      </c>
      <c r="Z111" s="16">
        <f t="shared" si="38"/>
        <v>6.04</v>
      </c>
      <c r="AA111" s="16">
        <v>0</v>
      </c>
      <c r="AB111" s="2">
        <f t="shared" si="42"/>
        <v>0</v>
      </c>
    </row>
    <row r="112" spans="4:28" ht="15.75" customHeight="1" x14ac:dyDescent="0.25">
      <c r="D112" s="6"/>
      <c r="V112" s="16" t="s">
        <v>307</v>
      </c>
      <c r="W112" s="1">
        <v>0</v>
      </c>
      <c r="X112" s="16" t="s">
        <v>308</v>
      </c>
      <c r="Y112" s="17">
        <v>370</v>
      </c>
      <c r="Z112" s="16">
        <f t="shared" si="38"/>
        <v>0</v>
      </c>
      <c r="AA112" s="16">
        <v>0</v>
      </c>
      <c r="AB112" s="2">
        <f t="shared" si="42"/>
        <v>0</v>
      </c>
    </row>
    <row r="113" spans="4:28" ht="15.75" customHeight="1" x14ac:dyDescent="0.25">
      <c r="D113" s="6"/>
      <c r="V113" s="16" t="s">
        <v>309</v>
      </c>
      <c r="W113" s="1">
        <v>0</v>
      </c>
      <c r="X113" s="16" t="s">
        <v>308</v>
      </c>
      <c r="Y113" s="17">
        <v>425</v>
      </c>
      <c r="Z113" s="16">
        <f t="shared" si="38"/>
        <v>0</v>
      </c>
      <c r="AA113" s="16">
        <v>0</v>
      </c>
      <c r="AB113" s="2">
        <f t="shared" si="42"/>
        <v>0</v>
      </c>
    </row>
    <row r="114" spans="4:28" ht="15.75" customHeight="1" x14ac:dyDescent="0.25">
      <c r="D114" s="6"/>
      <c r="V114" s="16" t="s">
        <v>310</v>
      </c>
      <c r="W114" s="1">
        <v>0</v>
      </c>
      <c r="X114" s="16" t="s">
        <v>26</v>
      </c>
      <c r="Y114" s="17">
        <v>150</v>
      </c>
      <c r="Z114" s="16">
        <f t="shared" si="38"/>
        <v>0</v>
      </c>
      <c r="AA114" s="16">
        <v>0</v>
      </c>
      <c r="AB114" s="2">
        <v>0</v>
      </c>
    </row>
    <row r="115" spans="4:28" ht="15.75" customHeight="1" x14ac:dyDescent="0.25">
      <c r="D115" s="6"/>
      <c r="V115" s="16" t="s">
        <v>865</v>
      </c>
      <c r="W115" s="1">
        <v>2</v>
      </c>
      <c r="X115" s="16" t="s">
        <v>26</v>
      </c>
      <c r="Y115" s="17">
        <v>244.89</v>
      </c>
      <c r="Z115" s="16">
        <f t="shared" si="38"/>
        <v>489.78</v>
      </c>
      <c r="AA115" s="16">
        <v>0</v>
      </c>
      <c r="AB115" s="2">
        <f t="shared" ref="AB115:AB142" si="43">Y115*AA115</f>
        <v>0</v>
      </c>
    </row>
    <row r="116" spans="4:28" ht="15.75" customHeight="1" x14ac:dyDescent="0.25">
      <c r="D116" s="6"/>
      <c r="V116" s="16" t="s">
        <v>311</v>
      </c>
      <c r="W116" s="1">
        <v>0</v>
      </c>
      <c r="X116" s="16" t="s">
        <v>26</v>
      </c>
      <c r="Y116" s="17">
        <v>69</v>
      </c>
      <c r="Z116" s="16">
        <f t="shared" si="38"/>
        <v>0</v>
      </c>
      <c r="AA116" s="16">
        <v>0</v>
      </c>
      <c r="AB116" s="2">
        <f t="shared" si="43"/>
        <v>0</v>
      </c>
    </row>
    <row r="117" spans="4:28" ht="15.75" customHeight="1" x14ac:dyDescent="0.25">
      <c r="D117" s="6"/>
      <c r="V117" s="16" t="s">
        <v>312</v>
      </c>
      <c r="W117" s="1">
        <v>0</v>
      </c>
      <c r="X117" s="16" t="s">
        <v>14</v>
      </c>
      <c r="Y117" s="17">
        <v>7.37</v>
      </c>
      <c r="Z117" s="16">
        <f t="shared" si="38"/>
        <v>0</v>
      </c>
      <c r="AA117" s="16">
        <v>0</v>
      </c>
      <c r="AB117" s="2">
        <f t="shared" si="43"/>
        <v>0</v>
      </c>
    </row>
    <row r="118" spans="4:28" ht="15.75" customHeight="1" x14ac:dyDescent="0.25">
      <c r="D118" s="6"/>
      <c r="V118" s="16" t="s">
        <v>864</v>
      </c>
      <c r="W118" s="1">
        <v>1</v>
      </c>
      <c r="X118" s="16" t="s">
        <v>26</v>
      </c>
      <c r="Y118" s="17">
        <v>173.88</v>
      </c>
      <c r="Z118" s="16">
        <f t="shared" si="38"/>
        <v>173.88</v>
      </c>
      <c r="AA118" s="16">
        <v>0</v>
      </c>
      <c r="AB118" s="2">
        <f t="shared" si="43"/>
        <v>0</v>
      </c>
    </row>
    <row r="119" spans="4:28" ht="15.75" customHeight="1" x14ac:dyDescent="0.25">
      <c r="D119" s="6"/>
      <c r="V119" s="16" t="s">
        <v>313</v>
      </c>
      <c r="W119" s="1">
        <v>0</v>
      </c>
      <c r="X119" s="16" t="s">
        <v>14</v>
      </c>
      <c r="Y119" s="17">
        <v>0</v>
      </c>
      <c r="Z119" s="16">
        <f t="shared" si="38"/>
        <v>0</v>
      </c>
      <c r="AA119" s="16">
        <v>0</v>
      </c>
      <c r="AB119" s="2">
        <f t="shared" si="43"/>
        <v>0</v>
      </c>
    </row>
    <row r="120" spans="4:28" ht="15.75" customHeight="1" x14ac:dyDescent="0.25">
      <c r="D120" s="6"/>
      <c r="V120" s="16" t="s">
        <v>314</v>
      </c>
      <c r="W120" s="1">
        <v>1</v>
      </c>
      <c r="X120" s="16" t="s">
        <v>14</v>
      </c>
      <c r="Y120" s="17">
        <v>74.5</v>
      </c>
      <c r="Z120" s="16">
        <f t="shared" si="38"/>
        <v>74.5</v>
      </c>
      <c r="AA120" s="16">
        <v>0</v>
      </c>
      <c r="AB120" s="2">
        <f t="shared" si="43"/>
        <v>0</v>
      </c>
    </row>
    <row r="121" spans="4:28" ht="15.75" customHeight="1" x14ac:dyDescent="0.25">
      <c r="D121" s="6"/>
      <c r="V121" s="16" t="s">
        <v>315</v>
      </c>
      <c r="W121" s="1">
        <v>0</v>
      </c>
      <c r="X121" s="16" t="s">
        <v>14</v>
      </c>
      <c r="Y121" s="17">
        <v>239.76</v>
      </c>
      <c r="Z121" s="16">
        <f t="shared" si="38"/>
        <v>0</v>
      </c>
      <c r="AA121" s="16">
        <v>0</v>
      </c>
      <c r="AB121" s="2">
        <f t="shared" si="43"/>
        <v>0</v>
      </c>
    </row>
    <row r="122" spans="4:28" ht="15.75" customHeight="1" x14ac:dyDescent="0.25">
      <c r="D122" s="6"/>
      <c r="V122" s="16" t="s">
        <v>316</v>
      </c>
      <c r="W122" s="1">
        <v>0</v>
      </c>
      <c r="X122" s="16" t="s">
        <v>14</v>
      </c>
      <c r="Y122" s="17">
        <v>0</v>
      </c>
      <c r="Z122" s="16">
        <f t="shared" si="38"/>
        <v>0</v>
      </c>
      <c r="AA122" s="16">
        <v>0</v>
      </c>
      <c r="AB122" s="2">
        <f t="shared" si="43"/>
        <v>0</v>
      </c>
    </row>
    <row r="123" spans="4:28" ht="15.75" customHeight="1" x14ac:dyDescent="0.25">
      <c r="D123" s="6"/>
      <c r="V123" s="16" t="s">
        <v>317</v>
      </c>
      <c r="W123" s="1">
        <v>0</v>
      </c>
      <c r="X123" s="16" t="s">
        <v>14</v>
      </c>
      <c r="Y123" s="17">
        <v>150</v>
      </c>
      <c r="Z123" s="16">
        <f t="shared" si="38"/>
        <v>0</v>
      </c>
      <c r="AA123" s="16">
        <v>0</v>
      </c>
      <c r="AB123" s="2">
        <f t="shared" si="43"/>
        <v>0</v>
      </c>
    </row>
    <row r="124" spans="4:28" ht="15.75" customHeight="1" x14ac:dyDescent="0.25">
      <c r="D124" s="6"/>
      <c r="V124" s="16" t="s">
        <v>318</v>
      </c>
      <c r="W124" s="1">
        <v>0</v>
      </c>
      <c r="X124" s="16" t="s">
        <v>14</v>
      </c>
      <c r="Y124" s="17">
        <v>9.5399999999999991</v>
      </c>
      <c r="Z124" s="16">
        <f t="shared" si="38"/>
        <v>0</v>
      </c>
      <c r="AA124" s="16">
        <v>0</v>
      </c>
      <c r="AB124" s="2">
        <f t="shared" si="43"/>
        <v>0</v>
      </c>
    </row>
    <row r="125" spans="4:28" ht="15.75" customHeight="1" x14ac:dyDescent="0.25">
      <c r="D125" s="6"/>
      <c r="V125" s="16" t="s">
        <v>319</v>
      </c>
      <c r="W125" s="1">
        <v>0</v>
      </c>
      <c r="X125" s="16" t="s">
        <v>14</v>
      </c>
      <c r="Y125" s="17">
        <v>6.8</v>
      </c>
      <c r="Z125" s="16">
        <f t="shared" si="38"/>
        <v>0</v>
      </c>
      <c r="AA125" s="16">
        <v>0</v>
      </c>
      <c r="AB125" s="2">
        <f t="shared" si="43"/>
        <v>0</v>
      </c>
    </row>
    <row r="126" spans="4:28" ht="15.75" customHeight="1" x14ac:dyDescent="0.25">
      <c r="D126" s="6"/>
      <c r="V126" s="16" t="s">
        <v>320</v>
      </c>
      <c r="W126" s="1">
        <v>0</v>
      </c>
      <c r="X126" s="16" t="s">
        <v>55</v>
      </c>
      <c r="Y126" s="17">
        <v>17.8</v>
      </c>
      <c r="Z126" s="16">
        <f t="shared" si="38"/>
        <v>0</v>
      </c>
      <c r="AA126" s="16">
        <v>0</v>
      </c>
      <c r="AB126" s="2">
        <f t="shared" si="43"/>
        <v>0</v>
      </c>
    </row>
    <row r="127" spans="4:28" ht="15.75" customHeight="1" x14ac:dyDescent="0.25">
      <c r="D127" s="6"/>
      <c r="V127" s="16" t="s">
        <v>321</v>
      </c>
      <c r="W127" s="1">
        <v>0</v>
      </c>
      <c r="X127" s="16" t="s">
        <v>14</v>
      </c>
      <c r="Y127" s="17">
        <v>33.619999999999997</v>
      </c>
      <c r="Z127" s="16">
        <f t="shared" si="38"/>
        <v>0</v>
      </c>
      <c r="AA127" s="16">
        <v>0</v>
      </c>
      <c r="AB127" s="2">
        <f t="shared" si="43"/>
        <v>0</v>
      </c>
    </row>
    <row r="128" spans="4:28" ht="15.75" customHeight="1" x14ac:dyDescent="0.25">
      <c r="D128" s="6"/>
      <c r="V128" s="16" t="s">
        <v>322</v>
      </c>
      <c r="W128" s="1">
        <v>0</v>
      </c>
      <c r="X128" s="16" t="s">
        <v>11</v>
      </c>
      <c r="Y128" s="17">
        <v>24.62</v>
      </c>
      <c r="Z128" s="16">
        <f t="shared" si="38"/>
        <v>0</v>
      </c>
      <c r="AA128" s="16">
        <v>0</v>
      </c>
      <c r="AB128" s="2">
        <f t="shared" si="43"/>
        <v>0</v>
      </c>
    </row>
    <row r="129" spans="4:28" ht="15.75" customHeight="1" x14ac:dyDescent="0.25">
      <c r="D129" s="6"/>
      <c r="V129" s="16" t="s">
        <v>323</v>
      </c>
      <c r="W129" s="1">
        <v>2</v>
      </c>
      <c r="X129" s="16" t="s">
        <v>26</v>
      </c>
      <c r="Y129" s="17">
        <v>289.38</v>
      </c>
      <c r="Z129" s="16">
        <f t="shared" si="38"/>
        <v>578.76</v>
      </c>
      <c r="AA129" s="16">
        <v>0</v>
      </c>
      <c r="AB129" s="2">
        <f t="shared" si="43"/>
        <v>0</v>
      </c>
    </row>
    <row r="130" spans="4:28" ht="15.75" customHeight="1" x14ac:dyDescent="0.25">
      <c r="D130" s="6"/>
      <c r="V130" s="16" t="s">
        <v>324</v>
      </c>
      <c r="W130" s="1">
        <v>1</v>
      </c>
      <c r="X130" s="16" t="s">
        <v>26</v>
      </c>
      <c r="Y130" s="17">
        <v>339.6</v>
      </c>
      <c r="Z130" s="16">
        <f t="shared" si="38"/>
        <v>339.6</v>
      </c>
      <c r="AA130" s="16">
        <v>0</v>
      </c>
      <c r="AB130" s="2">
        <f t="shared" si="43"/>
        <v>0</v>
      </c>
    </row>
    <row r="131" spans="4:28" ht="15.75" customHeight="1" x14ac:dyDescent="0.25">
      <c r="D131" s="6"/>
      <c r="V131" s="16" t="s">
        <v>325</v>
      </c>
      <c r="W131" s="1">
        <v>2</v>
      </c>
      <c r="X131" s="16" t="s">
        <v>179</v>
      </c>
      <c r="Y131" s="17">
        <v>118.2</v>
      </c>
      <c r="Z131" s="16">
        <f t="shared" ref="Z131:Z142" si="44">W131*Y131</f>
        <v>236.4</v>
      </c>
      <c r="AA131" s="16">
        <v>0</v>
      </c>
      <c r="AB131" s="2">
        <f t="shared" si="43"/>
        <v>0</v>
      </c>
    </row>
    <row r="132" spans="4:28" ht="15.75" customHeight="1" x14ac:dyDescent="0.25">
      <c r="D132" s="6"/>
      <c r="V132" s="16" t="s">
        <v>326</v>
      </c>
      <c r="W132" s="1">
        <v>1</v>
      </c>
      <c r="X132" s="16" t="s">
        <v>179</v>
      </c>
      <c r="Y132" s="17">
        <v>67.599999999999994</v>
      </c>
      <c r="Z132" s="16">
        <f t="shared" si="44"/>
        <v>67.599999999999994</v>
      </c>
      <c r="AA132" s="16">
        <v>0</v>
      </c>
      <c r="AB132" s="2">
        <f t="shared" si="43"/>
        <v>0</v>
      </c>
    </row>
    <row r="133" spans="4:28" ht="15.75" customHeight="1" x14ac:dyDescent="0.25">
      <c r="D133" s="6"/>
      <c r="V133" s="16" t="s">
        <v>327</v>
      </c>
      <c r="W133" s="1">
        <v>0</v>
      </c>
      <c r="X133" s="16" t="s">
        <v>14</v>
      </c>
      <c r="Y133" s="17">
        <v>1.2896000000000001</v>
      </c>
      <c r="Z133" s="16">
        <f t="shared" si="44"/>
        <v>0</v>
      </c>
      <c r="AA133" s="16">
        <v>0</v>
      </c>
      <c r="AB133" s="2">
        <f t="shared" si="43"/>
        <v>0</v>
      </c>
    </row>
    <row r="134" spans="4:28" ht="15.75" customHeight="1" x14ac:dyDescent="0.25">
      <c r="D134" s="6"/>
      <c r="V134" s="16" t="s">
        <v>328</v>
      </c>
      <c r="W134" s="1">
        <v>0</v>
      </c>
      <c r="X134" s="16" t="s">
        <v>14</v>
      </c>
      <c r="Y134" s="17">
        <v>0</v>
      </c>
      <c r="Z134" s="16">
        <f t="shared" si="44"/>
        <v>0</v>
      </c>
      <c r="AA134" s="16">
        <v>0</v>
      </c>
      <c r="AB134" s="2">
        <f t="shared" si="43"/>
        <v>0</v>
      </c>
    </row>
    <row r="135" spans="4:28" ht="15.75" customHeight="1" x14ac:dyDescent="0.25">
      <c r="D135" s="6"/>
      <c r="V135" s="16" t="s">
        <v>329</v>
      </c>
      <c r="W135" s="1">
        <v>0</v>
      </c>
      <c r="X135" s="16" t="s">
        <v>14</v>
      </c>
      <c r="Y135" s="17">
        <v>0.61299999999999999</v>
      </c>
      <c r="Z135" s="16">
        <f t="shared" si="44"/>
        <v>0</v>
      </c>
      <c r="AA135" s="16">
        <v>0</v>
      </c>
      <c r="AB135" s="2">
        <f t="shared" si="43"/>
        <v>0</v>
      </c>
    </row>
    <row r="136" spans="4:28" ht="15.75" customHeight="1" x14ac:dyDescent="0.25">
      <c r="D136" s="6"/>
      <c r="V136" s="16" t="s">
        <v>330</v>
      </c>
      <c r="W136" s="1">
        <v>2</v>
      </c>
      <c r="X136" s="16" t="s">
        <v>14</v>
      </c>
      <c r="Y136" s="17">
        <v>60.1</v>
      </c>
      <c r="Z136" s="16">
        <f t="shared" si="44"/>
        <v>120.2</v>
      </c>
      <c r="AA136" s="16">
        <v>0</v>
      </c>
      <c r="AB136" s="2">
        <f t="shared" si="43"/>
        <v>0</v>
      </c>
    </row>
    <row r="137" spans="4:28" ht="15.75" customHeight="1" x14ac:dyDescent="0.25">
      <c r="D137" s="6"/>
      <c r="V137" s="16" t="s">
        <v>331</v>
      </c>
      <c r="W137" s="1">
        <v>0</v>
      </c>
      <c r="X137" s="16" t="s">
        <v>179</v>
      </c>
      <c r="Y137" s="17">
        <v>24.25</v>
      </c>
      <c r="Z137" s="16">
        <f t="shared" si="44"/>
        <v>0</v>
      </c>
      <c r="AA137" s="16">
        <v>0</v>
      </c>
      <c r="AB137" s="2">
        <f t="shared" si="43"/>
        <v>0</v>
      </c>
    </row>
    <row r="138" spans="4:28" ht="15.75" customHeight="1" x14ac:dyDescent="0.25">
      <c r="D138" s="6"/>
      <c r="V138" s="16" t="s">
        <v>332</v>
      </c>
      <c r="W138" s="1">
        <v>0</v>
      </c>
      <c r="X138" s="16" t="s">
        <v>14</v>
      </c>
      <c r="Y138" s="17">
        <v>48.72</v>
      </c>
      <c r="Z138" s="16">
        <f t="shared" si="44"/>
        <v>0</v>
      </c>
      <c r="AA138" s="16">
        <v>0</v>
      </c>
      <c r="AB138" s="2">
        <f t="shared" si="43"/>
        <v>0</v>
      </c>
    </row>
    <row r="139" spans="4:28" ht="15.75" customHeight="1" x14ac:dyDescent="0.25">
      <c r="D139" s="6"/>
      <c r="V139" s="16" t="s">
        <v>333</v>
      </c>
      <c r="W139" s="1">
        <v>0</v>
      </c>
      <c r="X139" s="16" t="s">
        <v>14</v>
      </c>
      <c r="Y139" s="17">
        <v>691.2</v>
      </c>
      <c r="Z139" s="16">
        <f t="shared" si="44"/>
        <v>0</v>
      </c>
      <c r="AA139" s="16">
        <v>0</v>
      </c>
      <c r="AB139" s="2">
        <f t="shared" si="43"/>
        <v>0</v>
      </c>
    </row>
    <row r="140" spans="4:28" ht="15.75" customHeight="1" x14ac:dyDescent="0.25">
      <c r="D140" s="6"/>
      <c r="V140" s="16" t="s">
        <v>334</v>
      </c>
      <c r="W140" s="1">
        <v>0</v>
      </c>
      <c r="X140" s="16" t="s">
        <v>14</v>
      </c>
      <c r="Y140" s="17">
        <v>4.05</v>
      </c>
      <c r="Z140" s="16">
        <f t="shared" si="44"/>
        <v>0</v>
      </c>
      <c r="AA140" s="16">
        <v>0</v>
      </c>
      <c r="AB140" s="2">
        <f t="shared" si="43"/>
        <v>0</v>
      </c>
    </row>
    <row r="141" spans="4:28" ht="15.75" customHeight="1" x14ac:dyDescent="0.25">
      <c r="D141" s="6"/>
      <c r="V141" s="16" t="s">
        <v>335</v>
      </c>
      <c r="W141" s="1">
        <v>0</v>
      </c>
      <c r="X141" s="16" t="s">
        <v>14</v>
      </c>
      <c r="Y141" s="17">
        <v>41.29</v>
      </c>
      <c r="Z141" s="16">
        <f t="shared" si="44"/>
        <v>0</v>
      </c>
      <c r="AA141" s="16">
        <v>0</v>
      </c>
      <c r="AB141" s="2">
        <f t="shared" si="43"/>
        <v>0</v>
      </c>
    </row>
    <row r="142" spans="4:28" ht="15.75" customHeight="1" x14ac:dyDescent="0.25">
      <c r="D142" s="6"/>
      <c r="V142" s="16" t="s">
        <v>336</v>
      </c>
      <c r="W142" s="1">
        <v>0</v>
      </c>
      <c r="X142" s="16" t="s">
        <v>14</v>
      </c>
      <c r="Y142" s="50">
        <v>74.3</v>
      </c>
      <c r="Z142" s="16">
        <f t="shared" si="44"/>
        <v>0</v>
      </c>
      <c r="AA142" s="16">
        <v>0</v>
      </c>
      <c r="AB142" s="2">
        <f t="shared" si="43"/>
        <v>0</v>
      </c>
    </row>
    <row r="143" spans="4:28" ht="15.75" customHeight="1" x14ac:dyDescent="0.25">
      <c r="D143" s="6"/>
      <c r="V143" s="18"/>
      <c r="W143" s="19"/>
      <c r="X143" s="19"/>
      <c r="Y143" s="19"/>
      <c r="Z143" s="19"/>
      <c r="AA143" s="19"/>
      <c r="AB143" s="20"/>
    </row>
    <row r="144" spans="4:28" ht="15.75" customHeight="1" x14ac:dyDescent="0.25">
      <c r="D144" s="6"/>
      <c r="V144" s="33" t="s">
        <v>337</v>
      </c>
      <c r="W144" s="19"/>
      <c r="X144" s="19"/>
      <c r="Y144" s="20"/>
      <c r="Z144" s="34">
        <f>SUM(Z67:Z142)</f>
        <v>4256.8700000000008</v>
      </c>
      <c r="AA144" s="16"/>
      <c r="AB144" s="34">
        <f>SUM(AB67:AB142)</f>
        <v>0</v>
      </c>
    </row>
    <row r="145" spans="4:28" ht="15.75" customHeight="1" x14ac:dyDescent="0.25">
      <c r="D145" s="6"/>
      <c r="V145" s="18"/>
      <c r="W145" s="19"/>
      <c r="X145" s="19"/>
      <c r="Y145" s="19"/>
      <c r="Z145" s="19"/>
      <c r="AA145" s="19"/>
      <c r="AB145" s="20"/>
    </row>
    <row r="146" spans="4:28" ht="15.75" customHeight="1" x14ac:dyDescent="0.25">
      <c r="D146" s="6"/>
    </row>
    <row r="147" spans="4:28" ht="15.75" customHeight="1" x14ac:dyDescent="0.25">
      <c r="D147" s="6"/>
    </row>
    <row r="148" spans="4:28" ht="15.75" customHeight="1" x14ac:dyDescent="0.25">
      <c r="D148" s="6"/>
    </row>
    <row r="149" spans="4:28" ht="15.75" customHeight="1" x14ac:dyDescent="0.25">
      <c r="D149" s="6"/>
    </row>
    <row r="150" spans="4:28" ht="15.75" customHeight="1" x14ac:dyDescent="0.25">
      <c r="D150" s="6"/>
    </row>
    <row r="151" spans="4:28" ht="15.75" customHeight="1" x14ac:dyDescent="0.25">
      <c r="D151" s="6"/>
    </row>
    <row r="152" spans="4:28" ht="15.75" customHeight="1" x14ac:dyDescent="0.25">
      <c r="D152" s="6"/>
    </row>
    <row r="153" spans="4:28" ht="15.75" customHeight="1" x14ac:dyDescent="0.25">
      <c r="D153" s="6"/>
    </row>
    <row r="154" spans="4:28" ht="15.75" customHeight="1" x14ac:dyDescent="0.25">
      <c r="D154" s="6"/>
    </row>
    <row r="155" spans="4:28" ht="15.75" customHeight="1" x14ac:dyDescent="0.25">
      <c r="D155" s="6"/>
    </row>
    <row r="156" spans="4:28" ht="15.75" customHeight="1" x14ac:dyDescent="0.25">
      <c r="D156" s="6"/>
    </row>
    <row r="157" spans="4:28" ht="15.75" customHeight="1" x14ac:dyDescent="0.25">
      <c r="D157" s="6"/>
    </row>
    <row r="158" spans="4:28" ht="15.75" customHeight="1" x14ac:dyDescent="0.25">
      <c r="D158" s="6"/>
    </row>
    <row r="159" spans="4:28" ht="15.75" customHeight="1" x14ac:dyDescent="0.25">
      <c r="D159" s="6"/>
    </row>
    <row r="160" spans="4:28" ht="15.75" customHeight="1" x14ac:dyDescent="0.25">
      <c r="D160" s="6"/>
    </row>
    <row r="161" spans="4:4" ht="15.75" customHeight="1" x14ac:dyDescent="0.25">
      <c r="D161" s="6"/>
    </row>
    <row r="162" spans="4:4" ht="15.75" customHeight="1" x14ac:dyDescent="0.25">
      <c r="D162" s="6"/>
    </row>
    <row r="163" spans="4:4" ht="15.75" customHeight="1" x14ac:dyDescent="0.25">
      <c r="D163" s="6"/>
    </row>
    <row r="164" spans="4:4" ht="15.75" customHeight="1" x14ac:dyDescent="0.25">
      <c r="D164" s="6"/>
    </row>
    <row r="165" spans="4:4" ht="15.75" customHeight="1" x14ac:dyDescent="0.25">
      <c r="D165" s="6"/>
    </row>
    <row r="166" spans="4:4" ht="15.75" customHeight="1" x14ac:dyDescent="0.25">
      <c r="D166" s="6"/>
    </row>
    <row r="167" spans="4:4" ht="15.75" customHeight="1" x14ac:dyDescent="0.25">
      <c r="D167" s="6"/>
    </row>
    <row r="168" spans="4:4" ht="15.75" customHeight="1" x14ac:dyDescent="0.25">
      <c r="D168" s="6"/>
    </row>
    <row r="169" spans="4:4" ht="15.75" customHeight="1" x14ac:dyDescent="0.25">
      <c r="D169" s="6"/>
    </row>
    <row r="170" spans="4:4" ht="15.75" customHeight="1" x14ac:dyDescent="0.25">
      <c r="D170" s="6"/>
    </row>
    <row r="171" spans="4:4" ht="15.75" customHeight="1" x14ac:dyDescent="0.25">
      <c r="D171" s="6"/>
    </row>
    <row r="172" spans="4:4" ht="15.75" customHeight="1" x14ac:dyDescent="0.25">
      <c r="D172" s="6"/>
    </row>
    <row r="173" spans="4:4" ht="15.75" customHeight="1" x14ac:dyDescent="0.25">
      <c r="D173" s="6"/>
    </row>
    <row r="174" spans="4:4" ht="15.75" customHeight="1" x14ac:dyDescent="0.25">
      <c r="D174" s="6"/>
    </row>
    <row r="175" spans="4:4" ht="15.75" customHeight="1" x14ac:dyDescent="0.25">
      <c r="D175" s="6"/>
    </row>
    <row r="176" spans="4:4" ht="15.75" customHeight="1" x14ac:dyDescent="0.25">
      <c r="D176" s="6"/>
    </row>
    <row r="177" spans="4:4" ht="15.75" customHeight="1" x14ac:dyDescent="0.25">
      <c r="D177" s="6"/>
    </row>
    <row r="178" spans="4:4" ht="15.75" customHeight="1" x14ac:dyDescent="0.25">
      <c r="D178" s="6"/>
    </row>
    <row r="179" spans="4:4" ht="15.75" customHeight="1" x14ac:dyDescent="0.25">
      <c r="D179" s="6"/>
    </row>
    <row r="180" spans="4:4" ht="15.75" customHeight="1" x14ac:dyDescent="0.25">
      <c r="D180" s="6"/>
    </row>
    <row r="181" spans="4:4" ht="15.75" customHeight="1" x14ac:dyDescent="0.25">
      <c r="D181" s="6"/>
    </row>
    <row r="182" spans="4:4" ht="15.75" customHeight="1" x14ac:dyDescent="0.25">
      <c r="D182" s="6"/>
    </row>
    <row r="183" spans="4:4" ht="15.75" customHeight="1" x14ac:dyDescent="0.25">
      <c r="D183" s="6"/>
    </row>
    <row r="184" spans="4:4" ht="15.75" customHeight="1" x14ac:dyDescent="0.25">
      <c r="D184" s="6"/>
    </row>
    <row r="185" spans="4:4" ht="15.75" customHeight="1" x14ac:dyDescent="0.25">
      <c r="D185" s="6"/>
    </row>
    <row r="186" spans="4:4" ht="15.75" customHeight="1" x14ac:dyDescent="0.25">
      <c r="D186" s="6"/>
    </row>
    <row r="187" spans="4:4" ht="15.75" customHeight="1" x14ac:dyDescent="0.25">
      <c r="D187" s="6"/>
    </row>
    <row r="188" spans="4:4" ht="15.75" customHeight="1" x14ac:dyDescent="0.25">
      <c r="D188" s="6"/>
    </row>
    <row r="189" spans="4:4" ht="15.75" customHeight="1" x14ac:dyDescent="0.25">
      <c r="D189" s="6"/>
    </row>
    <row r="190" spans="4:4" ht="15.75" customHeight="1" x14ac:dyDescent="0.25">
      <c r="D190" s="6"/>
    </row>
    <row r="191" spans="4:4" ht="15.75" customHeight="1" x14ac:dyDescent="0.25">
      <c r="D191" s="6"/>
    </row>
    <row r="192" spans="4:4" ht="15.75" customHeight="1" x14ac:dyDescent="0.25">
      <c r="D192" s="6"/>
    </row>
    <row r="193" spans="4:4" ht="15.75" customHeight="1" x14ac:dyDescent="0.25">
      <c r="D193" s="6"/>
    </row>
    <row r="194" spans="4:4" ht="15.75" customHeight="1" x14ac:dyDescent="0.25">
      <c r="D194" s="6"/>
    </row>
    <row r="195" spans="4:4" ht="15.75" customHeight="1" x14ac:dyDescent="0.25">
      <c r="D195" s="6"/>
    </row>
    <row r="196" spans="4:4" ht="15.75" customHeight="1" x14ac:dyDescent="0.25">
      <c r="D196" s="6"/>
    </row>
    <row r="197" spans="4:4" ht="15.75" customHeight="1" x14ac:dyDescent="0.25">
      <c r="D197" s="6"/>
    </row>
    <row r="198" spans="4:4" ht="15.75" customHeight="1" x14ac:dyDescent="0.25">
      <c r="D198" s="6"/>
    </row>
    <row r="199" spans="4:4" ht="15.75" customHeight="1" x14ac:dyDescent="0.25">
      <c r="D199" s="6"/>
    </row>
    <row r="200" spans="4:4" ht="15.75" customHeight="1" x14ac:dyDescent="0.25">
      <c r="D200" s="6"/>
    </row>
    <row r="201" spans="4:4" ht="15.75" customHeight="1" x14ac:dyDescent="0.25">
      <c r="D201" s="6"/>
    </row>
    <row r="202" spans="4:4" ht="15.75" customHeight="1" x14ac:dyDescent="0.25">
      <c r="D202" s="6"/>
    </row>
    <row r="203" spans="4:4" ht="15.75" customHeight="1" x14ac:dyDescent="0.25">
      <c r="D203" s="6"/>
    </row>
    <row r="204" spans="4:4" ht="15.75" customHeight="1" x14ac:dyDescent="0.25">
      <c r="D204" s="6"/>
    </row>
    <row r="205" spans="4:4" ht="15.75" customHeight="1" x14ac:dyDescent="0.25">
      <c r="D205" s="6"/>
    </row>
    <row r="206" spans="4:4" ht="15.75" customHeight="1" x14ac:dyDescent="0.25">
      <c r="D206" s="6"/>
    </row>
    <row r="207" spans="4:4" ht="15.75" customHeight="1" x14ac:dyDescent="0.25">
      <c r="D207" s="6"/>
    </row>
    <row r="208" spans="4:4" ht="15.75" customHeight="1" x14ac:dyDescent="0.25">
      <c r="D208" s="6"/>
    </row>
    <row r="209" spans="4:4" ht="15.75" customHeight="1" x14ac:dyDescent="0.25">
      <c r="D209" s="6"/>
    </row>
    <row r="210" spans="4:4" ht="15.75" customHeight="1" x14ac:dyDescent="0.25">
      <c r="D210" s="6"/>
    </row>
    <row r="211" spans="4:4" ht="15.75" customHeight="1" x14ac:dyDescent="0.25">
      <c r="D211" s="6"/>
    </row>
    <row r="212" spans="4:4" ht="15.75" customHeight="1" x14ac:dyDescent="0.25">
      <c r="D212" s="6"/>
    </row>
    <row r="213" spans="4:4" ht="15.75" customHeight="1" x14ac:dyDescent="0.25">
      <c r="D213" s="6"/>
    </row>
    <row r="214" spans="4:4" ht="15.75" customHeight="1" x14ac:dyDescent="0.25">
      <c r="D214" s="6"/>
    </row>
    <row r="215" spans="4:4" ht="15.75" customHeight="1" x14ac:dyDescent="0.25">
      <c r="D215" s="6"/>
    </row>
    <row r="216" spans="4:4" ht="15.75" customHeight="1" x14ac:dyDescent="0.25">
      <c r="D216" s="6"/>
    </row>
    <row r="217" spans="4:4" ht="15.75" customHeight="1" x14ac:dyDescent="0.25">
      <c r="D217" s="6"/>
    </row>
    <row r="218" spans="4:4" ht="15.75" customHeight="1" x14ac:dyDescent="0.25">
      <c r="D218" s="6"/>
    </row>
    <row r="219" spans="4:4" ht="15.75" customHeight="1" x14ac:dyDescent="0.25">
      <c r="D219" s="6"/>
    </row>
    <row r="220" spans="4:4" ht="15.75" customHeight="1" x14ac:dyDescent="0.25">
      <c r="D220" s="6"/>
    </row>
    <row r="221" spans="4:4" ht="15.75" customHeight="1" x14ac:dyDescent="0.25">
      <c r="D221" s="6"/>
    </row>
    <row r="222" spans="4:4" ht="15.75" customHeight="1" x14ac:dyDescent="0.25">
      <c r="D222" s="6"/>
    </row>
    <row r="223" spans="4:4" ht="15.75" customHeight="1" x14ac:dyDescent="0.25">
      <c r="D223" s="6"/>
    </row>
    <row r="224" spans="4:4" ht="15.75" customHeight="1" x14ac:dyDescent="0.25">
      <c r="D224" s="6"/>
    </row>
    <row r="225" spans="4:4" ht="15.75" customHeight="1" x14ac:dyDescent="0.25">
      <c r="D225" s="6"/>
    </row>
    <row r="226" spans="4:4" ht="15.75" customHeight="1" x14ac:dyDescent="0.25">
      <c r="D226" s="6"/>
    </row>
    <row r="227" spans="4:4" ht="15.75" customHeight="1" x14ac:dyDescent="0.25">
      <c r="D227" s="6"/>
    </row>
    <row r="228" spans="4:4" ht="15.75" customHeight="1" x14ac:dyDescent="0.25">
      <c r="D228" s="6"/>
    </row>
    <row r="229" spans="4:4" ht="15.75" customHeight="1" x14ac:dyDescent="0.25">
      <c r="D229" s="6"/>
    </row>
    <row r="230" spans="4:4" ht="15.75" customHeight="1" x14ac:dyDescent="0.25">
      <c r="D230" s="6"/>
    </row>
    <row r="231" spans="4:4" ht="15.75" customHeight="1" x14ac:dyDescent="0.25">
      <c r="D231" s="6"/>
    </row>
    <row r="232" spans="4:4" ht="15.75" customHeight="1" x14ac:dyDescent="0.25">
      <c r="D232" s="6"/>
    </row>
    <row r="233" spans="4:4" ht="15.75" customHeight="1" x14ac:dyDescent="0.25">
      <c r="D233" s="6"/>
    </row>
    <row r="234" spans="4:4" ht="15.75" customHeight="1" x14ac:dyDescent="0.25">
      <c r="D234" s="6"/>
    </row>
    <row r="235" spans="4:4" ht="15.75" customHeight="1" x14ac:dyDescent="0.25">
      <c r="D235" s="6"/>
    </row>
    <row r="236" spans="4:4" ht="15.75" customHeight="1" x14ac:dyDescent="0.25">
      <c r="D236" s="6"/>
    </row>
    <row r="237" spans="4:4" ht="15.75" customHeight="1" x14ac:dyDescent="0.25">
      <c r="D237" s="6"/>
    </row>
    <row r="238" spans="4:4" ht="15.75" customHeight="1" x14ac:dyDescent="0.25">
      <c r="D238" s="6"/>
    </row>
    <row r="239" spans="4:4" ht="15.75" customHeight="1" x14ac:dyDescent="0.25">
      <c r="D239" s="6"/>
    </row>
    <row r="240" spans="4:4" ht="15.75" customHeight="1" x14ac:dyDescent="0.25">
      <c r="D240" s="6"/>
    </row>
    <row r="241" spans="4:4" ht="15.75" customHeight="1" x14ac:dyDescent="0.25">
      <c r="D241" s="6"/>
    </row>
    <row r="242" spans="4:4" ht="15.75" customHeight="1" x14ac:dyDescent="0.25">
      <c r="D242" s="6"/>
    </row>
    <row r="243" spans="4:4" ht="15.75" customHeight="1" x14ac:dyDescent="0.25">
      <c r="D243" s="6"/>
    </row>
    <row r="244" spans="4:4" ht="15.75" customHeight="1" x14ac:dyDescent="0.25">
      <c r="D244" s="6"/>
    </row>
    <row r="245" spans="4:4" ht="15.75" customHeight="1" x14ac:dyDescent="0.25">
      <c r="D245" s="6"/>
    </row>
    <row r="246" spans="4:4" ht="15.75" customHeight="1" x14ac:dyDescent="0.25">
      <c r="D246" s="6"/>
    </row>
    <row r="247" spans="4:4" ht="15.75" customHeight="1" x14ac:dyDescent="0.25">
      <c r="D247" s="6"/>
    </row>
    <row r="248" spans="4:4" ht="15.75" customHeight="1" x14ac:dyDescent="0.25">
      <c r="D248" s="6"/>
    </row>
    <row r="249" spans="4:4" ht="15.75" customHeight="1" x14ac:dyDescent="0.25">
      <c r="D249" s="6"/>
    </row>
    <row r="250" spans="4:4" ht="15.75" customHeight="1" x14ac:dyDescent="0.25">
      <c r="D250" s="6"/>
    </row>
    <row r="251" spans="4:4" ht="15.75" customHeight="1" x14ac:dyDescent="0.25">
      <c r="D251" s="6"/>
    </row>
    <row r="252" spans="4:4" ht="15.75" customHeight="1" x14ac:dyDescent="0.25">
      <c r="D252" s="6"/>
    </row>
    <row r="253" spans="4:4" ht="15.75" customHeight="1" x14ac:dyDescent="0.25">
      <c r="D253" s="6"/>
    </row>
    <row r="254" spans="4:4" ht="15.75" customHeight="1" x14ac:dyDescent="0.25">
      <c r="D254" s="6"/>
    </row>
    <row r="255" spans="4:4" ht="15.75" customHeight="1" x14ac:dyDescent="0.25">
      <c r="D255" s="6"/>
    </row>
    <row r="256" spans="4:4" ht="15.75" customHeight="1" x14ac:dyDescent="0.25">
      <c r="D256" s="6"/>
    </row>
    <row r="257" spans="4:4" ht="15.75" customHeight="1" x14ac:dyDescent="0.25">
      <c r="D257" s="6"/>
    </row>
    <row r="258" spans="4:4" ht="15.75" customHeight="1" x14ac:dyDescent="0.25">
      <c r="D258" s="6"/>
    </row>
    <row r="259" spans="4:4" ht="15.75" customHeight="1" x14ac:dyDescent="0.25">
      <c r="D259" s="6"/>
    </row>
    <row r="260" spans="4:4" ht="15.75" customHeight="1" x14ac:dyDescent="0.25">
      <c r="D260" s="6"/>
    </row>
    <row r="261" spans="4:4" ht="15.75" customHeight="1" x14ac:dyDescent="0.25">
      <c r="D261" s="6"/>
    </row>
    <row r="262" spans="4:4" ht="15.75" customHeight="1" x14ac:dyDescent="0.25">
      <c r="D262" s="6"/>
    </row>
    <row r="263" spans="4:4" ht="15.75" customHeight="1" x14ac:dyDescent="0.25">
      <c r="D263" s="6"/>
    </row>
    <row r="264" spans="4:4" ht="15.75" customHeight="1" x14ac:dyDescent="0.25">
      <c r="D264" s="6"/>
    </row>
    <row r="265" spans="4:4" ht="15.75" customHeight="1" x14ac:dyDescent="0.25">
      <c r="D265" s="6"/>
    </row>
    <row r="266" spans="4:4" ht="15.75" customHeight="1" x14ac:dyDescent="0.25">
      <c r="D266" s="6"/>
    </row>
    <row r="267" spans="4:4" ht="15.75" customHeight="1" x14ac:dyDescent="0.25">
      <c r="D267" s="6"/>
    </row>
    <row r="268" spans="4:4" ht="15.75" customHeight="1" x14ac:dyDescent="0.25">
      <c r="D268" s="6"/>
    </row>
    <row r="269" spans="4:4" ht="15.75" customHeight="1" x14ac:dyDescent="0.25">
      <c r="D269" s="6"/>
    </row>
    <row r="270" spans="4:4" ht="15.75" customHeight="1" x14ac:dyDescent="0.25">
      <c r="D270" s="6"/>
    </row>
    <row r="271" spans="4:4" ht="15.75" customHeight="1" x14ac:dyDescent="0.25">
      <c r="D271" s="6"/>
    </row>
    <row r="272" spans="4:4" ht="15.75" customHeight="1" x14ac:dyDescent="0.25">
      <c r="D272" s="6"/>
    </row>
    <row r="273" spans="4:4" ht="15.75" customHeight="1" x14ac:dyDescent="0.25">
      <c r="D273" s="6"/>
    </row>
    <row r="274" spans="4:4" ht="15.75" customHeight="1" x14ac:dyDescent="0.25">
      <c r="D274" s="6"/>
    </row>
    <row r="275" spans="4:4" ht="15.75" customHeight="1" x14ac:dyDescent="0.25">
      <c r="D275" s="6"/>
    </row>
    <row r="276" spans="4:4" ht="15.75" customHeight="1" x14ac:dyDescent="0.25">
      <c r="D276" s="6"/>
    </row>
    <row r="277" spans="4:4" ht="15.75" customHeight="1" x14ac:dyDescent="0.25">
      <c r="D277" s="6"/>
    </row>
    <row r="278" spans="4:4" ht="15.75" customHeight="1" x14ac:dyDescent="0.25">
      <c r="D278" s="6"/>
    </row>
    <row r="279" spans="4:4" ht="15.75" customHeight="1" x14ac:dyDescent="0.25">
      <c r="D279" s="6"/>
    </row>
    <row r="280" spans="4:4" ht="15.75" customHeight="1" x14ac:dyDescent="0.25">
      <c r="D280" s="6"/>
    </row>
    <row r="281" spans="4:4" ht="15.75" customHeight="1" x14ac:dyDescent="0.25">
      <c r="D281" s="6"/>
    </row>
    <row r="282" spans="4:4" ht="15.75" customHeight="1" x14ac:dyDescent="0.25">
      <c r="D282" s="6"/>
    </row>
    <row r="283" spans="4:4" ht="15.75" customHeight="1" x14ac:dyDescent="0.25">
      <c r="D283" s="6"/>
    </row>
    <row r="284" spans="4:4" ht="15.75" customHeight="1" x14ac:dyDescent="0.25">
      <c r="D284" s="6"/>
    </row>
    <row r="285" spans="4:4" ht="15.75" customHeight="1" x14ac:dyDescent="0.25">
      <c r="D285" s="6"/>
    </row>
    <row r="286" spans="4:4" ht="15.75" customHeight="1" x14ac:dyDescent="0.25">
      <c r="D286" s="6"/>
    </row>
    <row r="287" spans="4:4" ht="15.75" customHeight="1" x14ac:dyDescent="0.25">
      <c r="D287" s="6"/>
    </row>
    <row r="288" spans="4:4" ht="15.75" customHeight="1" x14ac:dyDescent="0.25">
      <c r="D288" s="6"/>
    </row>
    <row r="289" spans="4:4" ht="15.75" customHeight="1" x14ac:dyDescent="0.25">
      <c r="D289" s="6"/>
    </row>
    <row r="290" spans="4:4" ht="15.75" customHeight="1" x14ac:dyDescent="0.25">
      <c r="D290" s="6"/>
    </row>
    <row r="291" spans="4:4" ht="15.75" customHeight="1" x14ac:dyDescent="0.25">
      <c r="D291" s="6"/>
    </row>
    <row r="292" spans="4:4" ht="15.75" customHeight="1" x14ac:dyDescent="0.25">
      <c r="D292" s="6"/>
    </row>
    <row r="293" spans="4:4" ht="15.75" customHeight="1" x14ac:dyDescent="0.25">
      <c r="D293" s="6"/>
    </row>
    <row r="294" spans="4:4" ht="15.75" customHeight="1" x14ac:dyDescent="0.25">
      <c r="D294" s="6"/>
    </row>
    <row r="295" spans="4:4" ht="15.75" customHeight="1" x14ac:dyDescent="0.25">
      <c r="D295" s="6"/>
    </row>
    <row r="296" spans="4:4" ht="15.75" customHeight="1" x14ac:dyDescent="0.25">
      <c r="D296" s="6"/>
    </row>
    <row r="297" spans="4:4" ht="15.75" customHeight="1" x14ac:dyDescent="0.25">
      <c r="D297" s="6"/>
    </row>
    <row r="298" spans="4:4" ht="15.75" customHeight="1" x14ac:dyDescent="0.25">
      <c r="D298" s="6"/>
    </row>
    <row r="299" spans="4:4" ht="15.75" customHeight="1" x14ac:dyDescent="0.25">
      <c r="D299" s="6"/>
    </row>
    <row r="300" spans="4:4" ht="15.75" customHeight="1" x14ac:dyDescent="0.25">
      <c r="D300" s="6"/>
    </row>
    <row r="301" spans="4:4" ht="15.75" customHeight="1" x14ac:dyDescent="0.25">
      <c r="D301" s="6"/>
    </row>
    <row r="302" spans="4:4" ht="15.75" customHeight="1" x14ac:dyDescent="0.25">
      <c r="D302" s="6"/>
    </row>
    <row r="303" spans="4:4" ht="15.75" customHeight="1" x14ac:dyDescent="0.25">
      <c r="D303" s="6"/>
    </row>
    <row r="304" spans="4:4" ht="15.75" customHeight="1" x14ac:dyDescent="0.25">
      <c r="D304" s="6"/>
    </row>
    <row r="305" spans="4:4" ht="15.75" customHeight="1" x14ac:dyDescent="0.25">
      <c r="D305" s="6"/>
    </row>
    <row r="306" spans="4:4" ht="15.75" customHeight="1" x14ac:dyDescent="0.25">
      <c r="D306" s="6"/>
    </row>
    <row r="307" spans="4:4" ht="15.75" customHeight="1" x14ac:dyDescent="0.25">
      <c r="D307" s="6"/>
    </row>
    <row r="308" spans="4:4" ht="15.75" customHeight="1" x14ac:dyDescent="0.25">
      <c r="D308" s="6"/>
    </row>
    <row r="309" spans="4:4" ht="15.75" customHeight="1" x14ac:dyDescent="0.25">
      <c r="D309" s="6"/>
    </row>
    <row r="310" spans="4:4" ht="15.75" customHeight="1" x14ac:dyDescent="0.25">
      <c r="D310" s="6"/>
    </row>
    <row r="311" spans="4:4" ht="15.75" customHeight="1" x14ac:dyDescent="0.25">
      <c r="D311" s="6"/>
    </row>
    <row r="312" spans="4:4" ht="15.75" customHeight="1" x14ac:dyDescent="0.25">
      <c r="D312" s="6"/>
    </row>
    <row r="313" spans="4:4" ht="15.75" customHeight="1" x14ac:dyDescent="0.25">
      <c r="D313" s="6"/>
    </row>
    <row r="314" spans="4:4" ht="15.75" customHeight="1" x14ac:dyDescent="0.25">
      <c r="D314" s="6"/>
    </row>
    <row r="315" spans="4:4" ht="15.75" customHeight="1" x14ac:dyDescent="0.25">
      <c r="D315" s="6"/>
    </row>
    <row r="316" spans="4:4" ht="15.75" customHeight="1" x14ac:dyDescent="0.25">
      <c r="D316" s="6"/>
    </row>
    <row r="317" spans="4:4" ht="15.75" customHeight="1" x14ac:dyDescent="0.25">
      <c r="D317" s="6"/>
    </row>
    <row r="318" spans="4:4" ht="15.75" customHeight="1" x14ac:dyDescent="0.25">
      <c r="D318" s="6"/>
    </row>
    <row r="319" spans="4:4" ht="15.75" customHeight="1" x14ac:dyDescent="0.25">
      <c r="D319" s="6"/>
    </row>
    <row r="320" spans="4:4" ht="15.75" customHeight="1" x14ac:dyDescent="0.25">
      <c r="D320" s="6"/>
    </row>
    <row r="321" spans="4:4" ht="15.75" customHeight="1" x14ac:dyDescent="0.25">
      <c r="D321" s="6"/>
    </row>
    <row r="322" spans="4:4" ht="15.75" customHeight="1" x14ac:dyDescent="0.25">
      <c r="D322" s="6"/>
    </row>
    <row r="323" spans="4:4" ht="15.75" customHeight="1" x14ac:dyDescent="0.25">
      <c r="D323" s="6"/>
    </row>
    <row r="324" spans="4:4" ht="15.75" customHeight="1" x14ac:dyDescent="0.25">
      <c r="D324" s="6"/>
    </row>
    <row r="325" spans="4:4" ht="15.75" customHeight="1" x14ac:dyDescent="0.25">
      <c r="D325" s="6"/>
    </row>
    <row r="326" spans="4:4" ht="15.75" customHeight="1" x14ac:dyDescent="0.25">
      <c r="D326" s="6"/>
    </row>
    <row r="327" spans="4:4" ht="15.75" customHeight="1" x14ac:dyDescent="0.25">
      <c r="D327" s="6"/>
    </row>
    <row r="328" spans="4:4" ht="15.75" customHeight="1" x14ac:dyDescent="0.25">
      <c r="D328" s="6"/>
    </row>
    <row r="329" spans="4:4" ht="15.75" customHeight="1" x14ac:dyDescent="0.25">
      <c r="D329" s="6"/>
    </row>
    <row r="330" spans="4:4" ht="15.75" customHeight="1" x14ac:dyDescent="0.25">
      <c r="D330" s="6"/>
    </row>
    <row r="331" spans="4:4" ht="15.75" customHeight="1" x14ac:dyDescent="0.25">
      <c r="D331" s="6"/>
    </row>
    <row r="332" spans="4:4" ht="15.75" customHeight="1" x14ac:dyDescent="0.25">
      <c r="D332" s="6"/>
    </row>
    <row r="333" spans="4:4" ht="15.75" customHeight="1" x14ac:dyDescent="0.25">
      <c r="D333" s="6"/>
    </row>
    <row r="334" spans="4:4" ht="15.75" customHeight="1" x14ac:dyDescent="0.25">
      <c r="D334" s="6"/>
    </row>
    <row r="335" spans="4:4" ht="15.75" customHeight="1" x14ac:dyDescent="0.25">
      <c r="D335" s="6"/>
    </row>
    <row r="336" spans="4:4" ht="15.75" customHeight="1" x14ac:dyDescent="0.25">
      <c r="D336" s="6"/>
    </row>
    <row r="337" spans="4:4" ht="15.75" customHeight="1" x14ac:dyDescent="0.25">
      <c r="D337" s="6"/>
    </row>
    <row r="338" spans="4:4" ht="15.75" customHeight="1" x14ac:dyDescent="0.25">
      <c r="D338" s="6"/>
    </row>
    <row r="339" spans="4:4" ht="15.75" customHeight="1" x14ac:dyDescent="0.25">
      <c r="D339" s="6"/>
    </row>
    <row r="340" spans="4:4" ht="15.75" customHeight="1" x14ac:dyDescent="0.25">
      <c r="D340" s="6"/>
    </row>
    <row r="341" spans="4:4" ht="15.75" customHeight="1" x14ac:dyDescent="0.25">
      <c r="D341" s="6"/>
    </row>
    <row r="342" spans="4:4" ht="15.75" customHeight="1" x14ac:dyDescent="0.25">
      <c r="D342" s="6"/>
    </row>
    <row r="343" spans="4:4" ht="15.75" customHeight="1" x14ac:dyDescent="0.25">
      <c r="D343" s="6"/>
    </row>
    <row r="344" spans="4:4" ht="15.75" customHeight="1" x14ac:dyDescent="0.25">
      <c r="D344" s="6"/>
    </row>
    <row r="345" spans="4:4" ht="15.75" customHeight="1" x14ac:dyDescent="0.25">
      <c r="D345" s="6"/>
    </row>
  </sheetData>
  <mergeCells count="36">
    <mergeCell ref="V143:AB143"/>
    <mergeCell ref="V144:Y144"/>
    <mergeCell ref="V145:AB145"/>
    <mergeCell ref="H77:N77"/>
    <mergeCell ref="H78:K78"/>
    <mergeCell ref="H79:N79"/>
    <mergeCell ref="A72:G72"/>
    <mergeCell ref="O71:R71"/>
    <mergeCell ref="O72:U72"/>
    <mergeCell ref="A71:D71"/>
    <mergeCell ref="A75:B75"/>
    <mergeCell ref="V63:AB63"/>
    <mergeCell ref="V64:Y64"/>
    <mergeCell ref="V65:AB65"/>
    <mergeCell ref="A70:G70"/>
    <mergeCell ref="O70:U70"/>
    <mergeCell ref="A51:D51"/>
    <mergeCell ref="A52:G52"/>
    <mergeCell ref="A57:G57"/>
    <mergeCell ref="A58:D58"/>
    <mergeCell ref="A59:G59"/>
    <mergeCell ref="A41:G41"/>
    <mergeCell ref="O44:U44"/>
    <mergeCell ref="O45:R45"/>
    <mergeCell ref="O46:U46"/>
    <mergeCell ref="A50:G50"/>
    <mergeCell ref="A33:G33"/>
    <mergeCell ref="A34:D34"/>
    <mergeCell ref="A35:G35"/>
    <mergeCell ref="A39:G39"/>
    <mergeCell ref="A40:D40"/>
    <mergeCell ref="A1:N1"/>
    <mergeCell ref="O1:AB1"/>
    <mergeCell ref="O10:U10"/>
    <mergeCell ref="O11:R11"/>
    <mergeCell ref="O12:U12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8"/>
  <sheetViews>
    <sheetView topLeftCell="A83" workbookViewId="0">
      <selection activeCell="A108" sqref="A108:G108"/>
    </sheetView>
  </sheetViews>
  <sheetFormatPr defaultColWidth="14.42578125" defaultRowHeight="15.75" customHeight="1" x14ac:dyDescent="0.25"/>
  <cols>
    <col min="1" max="1" width="27" style="53" customWidth="1"/>
    <col min="2" max="2" width="9.7109375" style="53" customWidth="1"/>
    <col min="3" max="3" width="12.7109375" style="53" customWidth="1"/>
    <col min="4" max="4" width="11" style="53" customWidth="1"/>
    <col min="5" max="5" width="12.85546875" style="53" customWidth="1"/>
    <col min="6" max="6" width="8.7109375" style="53" customWidth="1"/>
    <col min="7" max="7" width="17.5703125" style="53" customWidth="1"/>
    <col min="8" max="16384" width="14.42578125" style="53"/>
  </cols>
  <sheetData>
    <row r="1" spans="1:7" ht="15.75" customHeight="1" x14ac:dyDescent="0.25">
      <c r="A1" s="104" t="s">
        <v>338</v>
      </c>
      <c r="B1" s="62"/>
      <c r="C1" s="62"/>
      <c r="D1" s="62"/>
      <c r="E1" s="62"/>
      <c r="F1" s="62"/>
      <c r="G1" s="63"/>
    </row>
    <row r="2" spans="1:7" ht="15.75" customHeight="1" x14ac:dyDescent="0.25">
      <c r="A2" s="3" t="s">
        <v>339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5.75" customHeight="1" x14ac:dyDescent="0.25">
      <c r="A3" s="3" t="s">
        <v>342</v>
      </c>
      <c r="B3" s="1">
        <v>0</v>
      </c>
      <c r="C3" s="3" t="s">
        <v>341</v>
      </c>
      <c r="D3" s="58">
        <v>49.9</v>
      </c>
      <c r="E3" s="3">
        <f t="shared" ref="E3:E66" si="0">D3*B3</f>
        <v>0</v>
      </c>
      <c r="F3" s="3">
        <v>0</v>
      </c>
      <c r="G3" s="3">
        <f>D3*F3</f>
        <v>0</v>
      </c>
    </row>
    <row r="4" spans="1:7" ht="15.75" customHeight="1" x14ac:dyDescent="0.25">
      <c r="A4" s="3" t="s">
        <v>340</v>
      </c>
      <c r="B4" s="1">
        <v>1.32</v>
      </c>
      <c r="C4" s="3" t="s">
        <v>341</v>
      </c>
      <c r="D4" s="70">
        <v>9.58</v>
      </c>
      <c r="E4" s="3">
        <f t="shared" si="0"/>
        <v>12.6456</v>
      </c>
      <c r="F4" s="3">
        <v>0</v>
      </c>
      <c r="G4" s="3">
        <f>D4*F4</f>
        <v>0</v>
      </c>
    </row>
    <row r="5" spans="1:7" ht="15.75" customHeight="1" x14ac:dyDescent="0.25">
      <c r="A5" s="3" t="s">
        <v>344</v>
      </c>
      <c r="B5" s="1">
        <v>0</v>
      </c>
      <c r="C5" s="3" t="s">
        <v>341</v>
      </c>
      <c r="D5" s="70">
        <v>5</v>
      </c>
      <c r="E5" s="3">
        <f t="shared" si="0"/>
        <v>0</v>
      </c>
      <c r="F5" s="3">
        <v>0</v>
      </c>
      <c r="G5" s="3">
        <v>0</v>
      </c>
    </row>
    <row r="6" spans="1:7" ht="15.75" customHeight="1" x14ac:dyDescent="0.25">
      <c r="A6" s="3" t="s">
        <v>343</v>
      </c>
      <c r="B6" s="1">
        <v>2.9</v>
      </c>
      <c r="C6" s="3" t="s">
        <v>341</v>
      </c>
      <c r="D6" s="70">
        <v>16.13</v>
      </c>
      <c r="E6" s="3">
        <f t="shared" si="0"/>
        <v>46.776999999999994</v>
      </c>
      <c r="F6" s="3">
        <v>0</v>
      </c>
      <c r="G6" s="3">
        <f t="shared" ref="G6:G31" si="1">D6*F6</f>
        <v>0</v>
      </c>
    </row>
    <row r="7" spans="1:7" ht="15.75" customHeight="1" x14ac:dyDescent="0.25">
      <c r="A7" s="3" t="s">
        <v>345</v>
      </c>
      <c r="B7" s="1">
        <v>0.48</v>
      </c>
      <c r="C7" s="3" t="s">
        <v>341</v>
      </c>
      <c r="D7" s="70">
        <v>4.05</v>
      </c>
      <c r="E7" s="3">
        <f t="shared" si="0"/>
        <v>1.944</v>
      </c>
      <c r="F7" s="3">
        <v>0</v>
      </c>
      <c r="G7" s="3">
        <f t="shared" si="1"/>
        <v>0</v>
      </c>
    </row>
    <row r="8" spans="1:7" ht="15.75" customHeight="1" x14ac:dyDescent="0.25">
      <c r="A8" s="3" t="s">
        <v>346</v>
      </c>
      <c r="B8" s="1">
        <v>0</v>
      </c>
      <c r="C8" s="3" t="s">
        <v>347</v>
      </c>
      <c r="D8" s="70">
        <v>2.85</v>
      </c>
      <c r="E8" s="3">
        <f t="shared" si="0"/>
        <v>0</v>
      </c>
      <c r="F8" s="3">
        <v>0</v>
      </c>
      <c r="G8" s="3">
        <f t="shared" si="1"/>
        <v>0</v>
      </c>
    </row>
    <row r="9" spans="1:7" ht="15.75" customHeight="1" x14ac:dyDescent="0.25">
      <c r="A9" s="3" t="s">
        <v>348</v>
      </c>
      <c r="B9" s="1">
        <v>0</v>
      </c>
      <c r="C9" s="3" t="s">
        <v>14</v>
      </c>
      <c r="D9" s="70">
        <v>10.75</v>
      </c>
      <c r="E9" s="3">
        <f t="shared" si="0"/>
        <v>0</v>
      </c>
      <c r="F9" s="3">
        <v>0</v>
      </c>
      <c r="G9" s="3">
        <f t="shared" si="1"/>
        <v>0</v>
      </c>
    </row>
    <row r="10" spans="1:7" ht="15.75" customHeight="1" x14ac:dyDescent="0.25">
      <c r="A10" s="3" t="s">
        <v>358</v>
      </c>
      <c r="B10" s="1">
        <v>0</v>
      </c>
      <c r="C10" s="3" t="s">
        <v>341</v>
      </c>
      <c r="D10" s="70">
        <v>10.08</v>
      </c>
      <c r="E10" s="3">
        <f t="shared" si="0"/>
        <v>0</v>
      </c>
      <c r="F10" s="3">
        <v>0</v>
      </c>
      <c r="G10" s="3">
        <f t="shared" si="1"/>
        <v>0</v>
      </c>
    </row>
    <row r="11" spans="1:7" ht="15.75" customHeight="1" x14ac:dyDescent="0.25">
      <c r="A11" s="3" t="s">
        <v>349</v>
      </c>
      <c r="B11" s="1">
        <v>0</v>
      </c>
      <c r="C11" s="3" t="s">
        <v>350</v>
      </c>
      <c r="D11" s="70">
        <v>89.71</v>
      </c>
      <c r="E11" s="3">
        <f t="shared" si="0"/>
        <v>0</v>
      </c>
      <c r="F11" s="3">
        <v>0</v>
      </c>
      <c r="G11" s="3">
        <f t="shared" si="1"/>
        <v>0</v>
      </c>
    </row>
    <row r="12" spans="1:7" ht="15.75" customHeight="1" x14ac:dyDescent="0.25">
      <c r="A12" s="3" t="s">
        <v>174</v>
      </c>
      <c r="B12" s="1">
        <v>7.0000000000000007E-2</v>
      </c>
      <c r="C12" s="3" t="s">
        <v>341</v>
      </c>
      <c r="D12" s="70">
        <v>35.5</v>
      </c>
      <c r="E12" s="3">
        <f t="shared" si="0"/>
        <v>2.4850000000000003</v>
      </c>
      <c r="F12" s="3">
        <v>0</v>
      </c>
      <c r="G12" s="3">
        <f t="shared" si="1"/>
        <v>0</v>
      </c>
    </row>
    <row r="13" spans="1:7" ht="15.75" customHeight="1" x14ac:dyDescent="0.25">
      <c r="A13" s="3" t="s">
        <v>351</v>
      </c>
      <c r="B13" s="1">
        <v>3</v>
      </c>
      <c r="C13" s="3" t="s">
        <v>341</v>
      </c>
      <c r="D13" s="70">
        <v>8.16</v>
      </c>
      <c r="E13" s="3">
        <f t="shared" si="0"/>
        <v>24.48</v>
      </c>
      <c r="F13" s="3">
        <v>0</v>
      </c>
      <c r="G13" s="3">
        <f t="shared" si="1"/>
        <v>0</v>
      </c>
    </row>
    <row r="14" spans="1:7" ht="15.75" customHeight="1" x14ac:dyDescent="0.25">
      <c r="A14" s="3" t="s">
        <v>352</v>
      </c>
      <c r="B14" s="1">
        <v>0.31</v>
      </c>
      <c r="C14" s="3" t="s">
        <v>341</v>
      </c>
      <c r="D14" s="70">
        <v>15.81</v>
      </c>
      <c r="E14" s="3">
        <f t="shared" si="0"/>
        <v>4.9011000000000005</v>
      </c>
      <c r="F14" s="3">
        <v>0</v>
      </c>
      <c r="G14" s="3">
        <f t="shared" si="1"/>
        <v>0</v>
      </c>
    </row>
    <row r="15" spans="1:7" ht="15.75" customHeight="1" x14ac:dyDescent="0.25">
      <c r="A15" s="3" t="s">
        <v>353</v>
      </c>
      <c r="B15" s="1">
        <v>0.53</v>
      </c>
      <c r="C15" s="3" t="s">
        <v>341</v>
      </c>
      <c r="D15" s="70">
        <v>16.760000000000002</v>
      </c>
      <c r="E15" s="3">
        <f t="shared" si="0"/>
        <v>8.8828000000000014</v>
      </c>
      <c r="F15" s="3">
        <v>0</v>
      </c>
      <c r="G15" s="3">
        <f t="shared" si="1"/>
        <v>0</v>
      </c>
    </row>
    <row r="16" spans="1:7" ht="15.75" customHeight="1" x14ac:dyDescent="0.25">
      <c r="A16" s="3" t="s">
        <v>354</v>
      </c>
      <c r="B16" s="1">
        <v>0</v>
      </c>
      <c r="C16" s="3" t="s">
        <v>341</v>
      </c>
      <c r="D16" s="70">
        <v>18.899999999999999</v>
      </c>
      <c r="E16" s="3">
        <f t="shared" si="0"/>
        <v>0</v>
      </c>
      <c r="F16" s="3">
        <v>0</v>
      </c>
      <c r="G16" s="3">
        <f t="shared" si="1"/>
        <v>0</v>
      </c>
    </row>
    <row r="17" spans="1:7" ht="15.75" customHeight="1" x14ac:dyDescent="0.25">
      <c r="A17" s="3" t="s">
        <v>357</v>
      </c>
      <c r="B17" s="1">
        <v>3.83</v>
      </c>
      <c r="C17" s="3" t="s">
        <v>341</v>
      </c>
      <c r="D17" s="70">
        <v>20.86</v>
      </c>
      <c r="E17" s="3">
        <f t="shared" si="0"/>
        <v>79.893799999999999</v>
      </c>
      <c r="F17" s="3">
        <v>0</v>
      </c>
      <c r="G17" s="3">
        <f t="shared" si="1"/>
        <v>0</v>
      </c>
    </row>
    <row r="18" spans="1:7" ht="15.75" customHeight="1" x14ac:dyDescent="0.25">
      <c r="A18" s="3" t="s">
        <v>355</v>
      </c>
      <c r="B18" s="1">
        <v>0</v>
      </c>
      <c r="C18" s="3" t="s">
        <v>341</v>
      </c>
      <c r="D18" s="70">
        <v>13.85</v>
      </c>
      <c r="E18" s="3">
        <f t="shared" si="0"/>
        <v>0</v>
      </c>
      <c r="F18" s="3">
        <v>0</v>
      </c>
      <c r="G18" s="3">
        <f t="shared" si="1"/>
        <v>0</v>
      </c>
    </row>
    <row r="19" spans="1:7" ht="15.75" customHeight="1" x14ac:dyDescent="0.25">
      <c r="A19" s="3" t="s">
        <v>356</v>
      </c>
      <c r="B19" s="1">
        <v>0</v>
      </c>
      <c r="C19" s="3" t="s">
        <v>341</v>
      </c>
      <c r="D19" s="70">
        <v>17.899999999999999</v>
      </c>
      <c r="E19" s="3">
        <f t="shared" si="0"/>
        <v>0</v>
      </c>
      <c r="F19" s="3">
        <v>0</v>
      </c>
      <c r="G19" s="3">
        <f t="shared" si="1"/>
        <v>0</v>
      </c>
    </row>
    <row r="20" spans="1:7" ht="15.75" customHeight="1" x14ac:dyDescent="0.25">
      <c r="A20" s="3" t="s">
        <v>359</v>
      </c>
      <c r="B20" s="1">
        <v>0</v>
      </c>
      <c r="C20" s="3" t="s">
        <v>341</v>
      </c>
      <c r="D20" s="70">
        <v>95.19</v>
      </c>
      <c r="E20" s="3">
        <f t="shared" si="0"/>
        <v>0</v>
      </c>
      <c r="F20" s="3">
        <v>0</v>
      </c>
      <c r="G20" s="3">
        <f t="shared" si="1"/>
        <v>0</v>
      </c>
    </row>
    <row r="21" spans="1:7" ht="15.75" customHeight="1" x14ac:dyDescent="0.25">
      <c r="A21" s="3" t="s">
        <v>360</v>
      </c>
      <c r="B21" s="1">
        <v>0</v>
      </c>
      <c r="C21" s="3" t="s">
        <v>350</v>
      </c>
      <c r="D21" s="70">
        <v>25</v>
      </c>
      <c r="E21" s="3">
        <f t="shared" si="0"/>
        <v>0</v>
      </c>
      <c r="F21" s="3">
        <v>0</v>
      </c>
      <c r="G21" s="3">
        <f t="shared" si="1"/>
        <v>0</v>
      </c>
    </row>
    <row r="22" spans="1:7" ht="15.75" customHeight="1" x14ac:dyDescent="0.25">
      <c r="A22" s="3" t="s">
        <v>899</v>
      </c>
      <c r="B22" s="1">
        <v>0.55000000000000004</v>
      </c>
      <c r="C22" s="3" t="s">
        <v>341</v>
      </c>
      <c r="D22" s="70">
        <v>7.5</v>
      </c>
      <c r="E22" s="3">
        <f t="shared" si="0"/>
        <v>4.125</v>
      </c>
      <c r="F22" s="3">
        <v>0</v>
      </c>
      <c r="G22" s="3">
        <f t="shared" si="1"/>
        <v>0</v>
      </c>
    </row>
    <row r="23" spans="1:7" ht="15.75" customHeight="1" x14ac:dyDescent="0.25">
      <c r="A23" s="3" t="s">
        <v>368</v>
      </c>
      <c r="B23" s="1">
        <v>0</v>
      </c>
      <c r="C23" s="3" t="s">
        <v>341</v>
      </c>
      <c r="D23" s="70">
        <v>6.9</v>
      </c>
      <c r="E23" s="3">
        <f t="shared" si="0"/>
        <v>0</v>
      </c>
      <c r="F23" s="3">
        <v>0</v>
      </c>
      <c r="G23" s="3">
        <f t="shared" si="1"/>
        <v>0</v>
      </c>
    </row>
    <row r="24" spans="1:7" ht="15.75" customHeight="1" x14ac:dyDescent="0.25">
      <c r="A24" s="3" t="s">
        <v>361</v>
      </c>
      <c r="B24" s="1">
        <v>0</v>
      </c>
      <c r="C24" s="3" t="s">
        <v>350</v>
      </c>
      <c r="D24" s="70">
        <v>3.2</v>
      </c>
      <c r="E24" s="3">
        <f t="shared" si="0"/>
        <v>0</v>
      </c>
      <c r="F24" s="3">
        <v>0</v>
      </c>
      <c r="G24" s="3">
        <f t="shared" si="1"/>
        <v>0</v>
      </c>
    </row>
    <row r="25" spans="1:7" ht="15.75" customHeight="1" x14ac:dyDescent="0.25">
      <c r="A25" s="3" t="s">
        <v>362</v>
      </c>
      <c r="B25" s="1">
        <v>4.0999999999999996</v>
      </c>
      <c r="C25" s="3" t="s">
        <v>341</v>
      </c>
      <c r="D25" s="70">
        <v>5.13</v>
      </c>
      <c r="E25" s="3">
        <f t="shared" si="0"/>
        <v>21.032999999999998</v>
      </c>
      <c r="F25" s="3">
        <v>0</v>
      </c>
      <c r="G25" s="3">
        <f t="shared" si="1"/>
        <v>0</v>
      </c>
    </row>
    <row r="26" spans="1:7" ht="15.75" customHeight="1" x14ac:dyDescent="0.25">
      <c r="A26" s="3" t="s">
        <v>364</v>
      </c>
      <c r="B26" s="1">
        <v>0</v>
      </c>
      <c r="C26" s="3" t="s">
        <v>341</v>
      </c>
      <c r="D26" s="70">
        <v>2.65</v>
      </c>
      <c r="E26" s="3">
        <f t="shared" si="0"/>
        <v>0</v>
      </c>
      <c r="F26" s="3">
        <v>0</v>
      </c>
      <c r="G26" s="3">
        <f t="shared" si="1"/>
        <v>0</v>
      </c>
    </row>
    <row r="27" spans="1:7" ht="15.75" customHeight="1" x14ac:dyDescent="0.25">
      <c r="A27" s="3" t="s">
        <v>365</v>
      </c>
      <c r="B27" s="1">
        <v>0</v>
      </c>
      <c r="C27" s="3" t="s">
        <v>341</v>
      </c>
      <c r="D27" s="70">
        <v>2.89</v>
      </c>
      <c r="E27" s="3">
        <f t="shared" si="0"/>
        <v>0</v>
      </c>
      <c r="F27" s="3">
        <v>0</v>
      </c>
      <c r="G27" s="3">
        <f t="shared" si="1"/>
        <v>0</v>
      </c>
    </row>
    <row r="28" spans="1:7" ht="15.75" customHeight="1" x14ac:dyDescent="0.25">
      <c r="A28" s="3" t="s">
        <v>366</v>
      </c>
      <c r="B28" s="1">
        <v>0</v>
      </c>
      <c r="C28" s="3" t="s">
        <v>367</v>
      </c>
      <c r="D28" s="70">
        <v>6.36</v>
      </c>
      <c r="E28" s="3">
        <f t="shared" si="0"/>
        <v>0</v>
      </c>
      <c r="F28" s="3">
        <v>0</v>
      </c>
      <c r="G28" s="3">
        <f t="shared" si="1"/>
        <v>0</v>
      </c>
    </row>
    <row r="29" spans="1:7" ht="15.75" customHeight="1" x14ac:dyDescent="0.25">
      <c r="A29" s="3" t="s">
        <v>363</v>
      </c>
      <c r="B29" s="1">
        <v>0</v>
      </c>
      <c r="C29" s="3" t="s">
        <v>341</v>
      </c>
      <c r="D29" s="70">
        <v>4.25</v>
      </c>
      <c r="E29" s="3">
        <f t="shared" si="0"/>
        <v>0</v>
      </c>
      <c r="F29" s="3">
        <v>0</v>
      </c>
      <c r="G29" s="3">
        <f t="shared" si="1"/>
        <v>0</v>
      </c>
    </row>
    <row r="30" spans="1:7" ht="15.75" customHeight="1" x14ac:dyDescent="0.25">
      <c r="A30" s="3" t="s">
        <v>369</v>
      </c>
      <c r="B30" s="1">
        <v>0.23</v>
      </c>
      <c r="C30" s="3" t="s">
        <v>367</v>
      </c>
      <c r="D30" s="70">
        <v>5.98</v>
      </c>
      <c r="E30" s="3">
        <f t="shared" si="0"/>
        <v>1.3754000000000002</v>
      </c>
      <c r="F30" s="3">
        <v>0</v>
      </c>
      <c r="G30" s="3">
        <f t="shared" si="1"/>
        <v>0</v>
      </c>
    </row>
    <row r="31" spans="1:7" ht="15.75" customHeight="1" x14ac:dyDescent="0.25">
      <c r="A31" s="3" t="s">
        <v>370</v>
      </c>
      <c r="B31" s="1">
        <v>6.13</v>
      </c>
      <c r="C31" s="3" t="s">
        <v>367</v>
      </c>
      <c r="D31" s="70">
        <v>5.84</v>
      </c>
      <c r="E31" s="3">
        <f t="shared" si="0"/>
        <v>35.799199999999999</v>
      </c>
      <c r="F31" s="3">
        <v>0</v>
      </c>
      <c r="G31" s="3">
        <f t="shared" si="1"/>
        <v>0</v>
      </c>
    </row>
    <row r="32" spans="1:7" ht="15.75" customHeight="1" x14ac:dyDescent="0.25">
      <c r="A32" s="3" t="s">
        <v>371</v>
      </c>
      <c r="B32" s="1">
        <v>0</v>
      </c>
      <c r="C32" s="3" t="s">
        <v>347</v>
      </c>
      <c r="D32" s="70">
        <v>11</v>
      </c>
      <c r="E32" s="3">
        <f t="shared" si="0"/>
        <v>0</v>
      </c>
      <c r="F32" s="3"/>
      <c r="G32" s="3"/>
    </row>
    <row r="33" spans="1:7" ht="15.75" customHeight="1" x14ac:dyDescent="0.25">
      <c r="A33" s="3" t="s">
        <v>372</v>
      </c>
      <c r="B33" s="1">
        <v>1.33</v>
      </c>
      <c r="C33" s="3" t="s">
        <v>373</v>
      </c>
      <c r="D33" s="70">
        <v>19.899999999999999</v>
      </c>
      <c r="E33" s="3">
        <f t="shared" si="0"/>
        <v>26.466999999999999</v>
      </c>
      <c r="F33" s="3">
        <v>0</v>
      </c>
      <c r="G33" s="3">
        <f t="shared" ref="G33:G46" si="2">D33*F33</f>
        <v>0</v>
      </c>
    </row>
    <row r="34" spans="1:7" ht="15.75" customHeight="1" x14ac:dyDescent="0.25">
      <c r="A34" s="3" t="s">
        <v>386</v>
      </c>
      <c r="B34" s="1">
        <v>0</v>
      </c>
      <c r="C34" s="3" t="s">
        <v>341</v>
      </c>
      <c r="D34" s="70">
        <v>36</v>
      </c>
      <c r="E34" s="3">
        <f t="shared" si="0"/>
        <v>0</v>
      </c>
      <c r="F34" s="3">
        <v>0</v>
      </c>
      <c r="G34" s="3">
        <f t="shared" si="2"/>
        <v>0</v>
      </c>
    </row>
    <row r="35" spans="1:7" ht="15.75" customHeight="1" x14ac:dyDescent="0.25">
      <c r="A35" s="3" t="s">
        <v>374</v>
      </c>
      <c r="B35" s="1">
        <v>0</v>
      </c>
      <c r="C35" s="3" t="s">
        <v>375</v>
      </c>
      <c r="D35" s="70">
        <v>15</v>
      </c>
      <c r="E35" s="3">
        <f t="shared" si="0"/>
        <v>0</v>
      </c>
      <c r="F35" s="3">
        <v>0</v>
      </c>
      <c r="G35" s="3">
        <f t="shared" si="2"/>
        <v>0</v>
      </c>
    </row>
    <row r="36" spans="1:7" ht="15.75" customHeight="1" x14ac:dyDescent="0.25">
      <c r="A36" s="3" t="s">
        <v>376</v>
      </c>
      <c r="B36" s="1">
        <v>6.0650000000000004</v>
      </c>
      <c r="C36" s="3" t="s">
        <v>367</v>
      </c>
      <c r="D36" s="70">
        <v>4.46</v>
      </c>
      <c r="E36" s="3">
        <f t="shared" si="0"/>
        <v>27.049900000000001</v>
      </c>
      <c r="F36" s="3">
        <v>0</v>
      </c>
      <c r="G36" s="3">
        <f t="shared" si="2"/>
        <v>0</v>
      </c>
    </row>
    <row r="37" spans="1:7" ht="15.75" customHeight="1" x14ac:dyDescent="0.25">
      <c r="A37" s="3" t="s">
        <v>377</v>
      </c>
      <c r="B37" s="1">
        <v>0</v>
      </c>
      <c r="C37" s="3" t="s">
        <v>367</v>
      </c>
      <c r="D37" s="70">
        <v>2.89</v>
      </c>
      <c r="E37" s="3">
        <f t="shared" si="0"/>
        <v>0</v>
      </c>
      <c r="F37" s="3">
        <v>0</v>
      </c>
      <c r="G37" s="3">
        <f t="shared" si="2"/>
        <v>0</v>
      </c>
    </row>
    <row r="38" spans="1:7" ht="15.75" customHeight="1" x14ac:dyDescent="0.25">
      <c r="A38" s="3" t="s">
        <v>378</v>
      </c>
      <c r="B38" s="1">
        <v>2.8</v>
      </c>
      <c r="C38" s="3" t="s">
        <v>367</v>
      </c>
      <c r="D38" s="70">
        <v>7.37</v>
      </c>
      <c r="E38" s="3">
        <f t="shared" si="0"/>
        <v>20.635999999999999</v>
      </c>
      <c r="F38" s="3">
        <v>0</v>
      </c>
      <c r="G38" s="3">
        <f t="shared" si="2"/>
        <v>0</v>
      </c>
    </row>
    <row r="39" spans="1:7" ht="15.75" customHeight="1" x14ac:dyDescent="0.25">
      <c r="A39" s="3" t="s">
        <v>380</v>
      </c>
      <c r="B39" s="1">
        <v>0</v>
      </c>
      <c r="C39" s="3" t="s">
        <v>14</v>
      </c>
      <c r="D39" s="70">
        <v>2.4</v>
      </c>
      <c r="E39" s="3">
        <f t="shared" si="0"/>
        <v>0</v>
      </c>
      <c r="F39" s="3">
        <v>0</v>
      </c>
      <c r="G39" s="3">
        <f t="shared" si="2"/>
        <v>0</v>
      </c>
    </row>
    <row r="40" spans="1:7" ht="15.75" customHeight="1" x14ac:dyDescent="0.25">
      <c r="A40" s="3" t="s">
        <v>379</v>
      </c>
      <c r="B40" s="1">
        <v>0</v>
      </c>
      <c r="C40" s="3" t="s">
        <v>373</v>
      </c>
      <c r="D40" s="70">
        <v>16.87</v>
      </c>
      <c r="E40" s="3">
        <f t="shared" si="0"/>
        <v>0</v>
      </c>
      <c r="F40" s="3">
        <v>0</v>
      </c>
      <c r="G40" s="3">
        <f t="shared" si="2"/>
        <v>0</v>
      </c>
    </row>
    <row r="41" spans="1:7" ht="15.75" customHeight="1" x14ac:dyDescent="0.25">
      <c r="A41" s="3" t="s">
        <v>381</v>
      </c>
      <c r="B41" s="1">
        <v>1.18</v>
      </c>
      <c r="C41" s="3" t="s">
        <v>367</v>
      </c>
      <c r="D41" s="70">
        <v>7.21</v>
      </c>
      <c r="E41" s="3">
        <f t="shared" si="0"/>
        <v>8.5077999999999996</v>
      </c>
      <c r="F41" s="3">
        <v>0</v>
      </c>
      <c r="G41" s="3">
        <f t="shared" si="2"/>
        <v>0</v>
      </c>
    </row>
    <row r="42" spans="1:7" ht="15.75" customHeight="1" x14ac:dyDescent="0.25">
      <c r="A42" s="3" t="s">
        <v>383</v>
      </c>
      <c r="B42" s="1">
        <v>0</v>
      </c>
      <c r="C42" s="3" t="s">
        <v>341</v>
      </c>
      <c r="D42" s="70">
        <v>7.9</v>
      </c>
      <c r="E42" s="3">
        <f t="shared" si="0"/>
        <v>0</v>
      </c>
      <c r="F42" s="3">
        <v>0</v>
      </c>
      <c r="G42" s="3">
        <f t="shared" si="2"/>
        <v>0</v>
      </c>
    </row>
    <row r="43" spans="1:7" ht="15.75" customHeight="1" x14ac:dyDescent="0.25">
      <c r="A43" s="3" t="s">
        <v>382</v>
      </c>
      <c r="B43" s="1">
        <v>0</v>
      </c>
      <c r="C43" s="3" t="s">
        <v>341</v>
      </c>
      <c r="D43" s="70">
        <v>8.1199999999999992</v>
      </c>
      <c r="E43" s="3">
        <f t="shared" si="0"/>
        <v>0</v>
      </c>
      <c r="F43" s="3">
        <v>0</v>
      </c>
      <c r="G43" s="3">
        <f t="shared" si="2"/>
        <v>0</v>
      </c>
    </row>
    <row r="44" spans="1:7" ht="15.75" customHeight="1" x14ac:dyDescent="0.25">
      <c r="A44" s="3" t="s">
        <v>385</v>
      </c>
      <c r="B44" s="1">
        <v>0.12</v>
      </c>
      <c r="C44" s="3" t="s">
        <v>373</v>
      </c>
      <c r="D44" s="70">
        <v>25.24</v>
      </c>
      <c r="E44" s="3">
        <f t="shared" si="0"/>
        <v>3.0287999999999995</v>
      </c>
      <c r="F44" s="3">
        <v>0</v>
      </c>
      <c r="G44" s="3">
        <f t="shared" si="2"/>
        <v>0</v>
      </c>
    </row>
    <row r="45" spans="1:7" ht="15.75" customHeight="1" x14ac:dyDescent="0.25">
      <c r="A45" s="3" t="s">
        <v>387</v>
      </c>
      <c r="B45" s="1">
        <v>1.58</v>
      </c>
      <c r="C45" s="3" t="s">
        <v>373</v>
      </c>
      <c r="D45" s="70">
        <v>9.9700000000000006</v>
      </c>
      <c r="E45" s="3">
        <f t="shared" si="0"/>
        <v>15.752600000000001</v>
      </c>
      <c r="F45" s="3">
        <v>0</v>
      </c>
      <c r="G45" s="3">
        <f t="shared" si="2"/>
        <v>0</v>
      </c>
    </row>
    <row r="46" spans="1:7" ht="15.75" customHeight="1" x14ac:dyDescent="0.25">
      <c r="A46" s="3" t="s">
        <v>388</v>
      </c>
      <c r="B46" s="1">
        <v>0</v>
      </c>
      <c r="C46" s="3" t="s">
        <v>373</v>
      </c>
      <c r="D46" s="70">
        <v>11.14</v>
      </c>
      <c r="E46" s="3">
        <f t="shared" si="0"/>
        <v>0</v>
      </c>
      <c r="F46" s="3">
        <v>0</v>
      </c>
      <c r="G46" s="3">
        <f t="shared" si="2"/>
        <v>0</v>
      </c>
    </row>
    <row r="47" spans="1:7" ht="15.75" customHeight="1" x14ac:dyDescent="0.25">
      <c r="A47" s="3" t="s">
        <v>384</v>
      </c>
      <c r="B47" s="1">
        <v>0</v>
      </c>
      <c r="C47" s="3" t="s">
        <v>14</v>
      </c>
      <c r="D47" s="70">
        <v>2.48</v>
      </c>
      <c r="E47" s="3">
        <f t="shared" si="0"/>
        <v>0</v>
      </c>
      <c r="F47" s="3">
        <v>0</v>
      </c>
      <c r="G47" s="3">
        <v>0</v>
      </c>
    </row>
    <row r="48" spans="1:7" ht="15.75" customHeight="1" x14ac:dyDescent="0.25">
      <c r="A48" s="3" t="s">
        <v>389</v>
      </c>
      <c r="B48" s="1">
        <v>0</v>
      </c>
      <c r="C48" s="3" t="s">
        <v>367</v>
      </c>
      <c r="D48" s="70">
        <v>37.9</v>
      </c>
      <c r="E48" s="3">
        <f t="shared" si="0"/>
        <v>0</v>
      </c>
      <c r="F48" s="3">
        <v>0</v>
      </c>
      <c r="G48" s="3">
        <f t="shared" ref="G48:G91" si="3">D48*F48</f>
        <v>0</v>
      </c>
    </row>
    <row r="49" spans="1:7" ht="15.75" customHeight="1" x14ac:dyDescent="0.25">
      <c r="A49" s="3" t="s">
        <v>390</v>
      </c>
      <c r="B49" s="1">
        <v>0</v>
      </c>
      <c r="C49" s="3" t="s">
        <v>347</v>
      </c>
      <c r="D49" s="70">
        <v>2.5</v>
      </c>
      <c r="E49" s="3">
        <f t="shared" si="0"/>
        <v>0</v>
      </c>
      <c r="F49" s="3">
        <v>0</v>
      </c>
      <c r="G49" s="3">
        <f t="shared" si="3"/>
        <v>0</v>
      </c>
    </row>
    <row r="50" spans="1:7" ht="15.75" customHeight="1" x14ac:dyDescent="0.25">
      <c r="A50" s="3" t="s">
        <v>391</v>
      </c>
      <c r="B50" s="1">
        <v>5.23</v>
      </c>
      <c r="C50" s="3" t="s">
        <v>367</v>
      </c>
      <c r="D50" s="70">
        <v>8.1199999999999992</v>
      </c>
      <c r="E50" s="3">
        <f t="shared" si="0"/>
        <v>42.467599999999997</v>
      </c>
      <c r="F50" s="3">
        <v>0</v>
      </c>
      <c r="G50" s="3">
        <f t="shared" si="3"/>
        <v>0</v>
      </c>
    </row>
    <row r="51" spans="1:7" ht="15.75" customHeight="1" x14ac:dyDescent="0.25">
      <c r="A51" s="3" t="s">
        <v>392</v>
      </c>
      <c r="B51" s="1">
        <v>0</v>
      </c>
      <c r="C51" s="3" t="s">
        <v>341</v>
      </c>
      <c r="D51" s="70">
        <v>55</v>
      </c>
      <c r="E51" s="3">
        <f t="shared" si="0"/>
        <v>0</v>
      </c>
      <c r="F51" s="3">
        <v>0</v>
      </c>
      <c r="G51" s="3">
        <f t="shared" si="3"/>
        <v>0</v>
      </c>
    </row>
    <row r="52" spans="1:7" ht="15.75" customHeight="1" x14ac:dyDescent="0.25">
      <c r="A52" s="3" t="s">
        <v>393</v>
      </c>
      <c r="B52" s="1">
        <v>0</v>
      </c>
      <c r="C52" s="3" t="s">
        <v>350</v>
      </c>
      <c r="D52" s="70">
        <v>15.2</v>
      </c>
      <c r="E52" s="3">
        <f t="shared" si="0"/>
        <v>0</v>
      </c>
      <c r="F52" s="3">
        <v>0</v>
      </c>
      <c r="G52" s="3">
        <f t="shared" si="3"/>
        <v>0</v>
      </c>
    </row>
    <row r="53" spans="1:7" ht="15.75" customHeight="1" x14ac:dyDescent="0.25">
      <c r="A53" s="3" t="s">
        <v>394</v>
      </c>
      <c r="B53" s="1">
        <v>0</v>
      </c>
      <c r="C53" s="3" t="s">
        <v>341</v>
      </c>
      <c r="D53" s="70">
        <v>12.5</v>
      </c>
      <c r="E53" s="3">
        <f t="shared" si="0"/>
        <v>0</v>
      </c>
      <c r="F53" s="3">
        <v>0</v>
      </c>
      <c r="G53" s="3">
        <f t="shared" si="3"/>
        <v>0</v>
      </c>
    </row>
    <row r="54" spans="1:7" ht="15.75" customHeight="1" x14ac:dyDescent="0.25">
      <c r="A54" s="3" t="s">
        <v>401</v>
      </c>
      <c r="B54" s="1">
        <v>0</v>
      </c>
      <c r="C54" s="3" t="s">
        <v>341</v>
      </c>
      <c r="D54" s="70">
        <v>37.5</v>
      </c>
      <c r="E54" s="3">
        <f t="shared" si="0"/>
        <v>0</v>
      </c>
      <c r="F54" s="3">
        <v>0</v>
      </c>
      <c r="G54" s="3">
        <f t="shared" si="3"/>
        <v>0</v>
      </c>
    </row>
    <row r="55" spans="1:7" ht="15.75" customHeight="1" x14ac:dyDescent="0.25">
      <c r="A55" s="3" t="s">
        <v>395</v>
      </c>
      <c r="B55" s="1">
        <v>5.68</v>
      </c>
      <c r="C55" s="3" t="s">
        <v>341</v>
      </c>
      <c r="D55" s="70">
        <v>8.1199999999999992</v>
      </c>
      <c r="E55" s="3">
        <f t="shared" si="0"/>
        <v>46.121599999999994</v>
      </c>
      <c r="F55" s="3">
        <v>0</v>
      </c>
      <c r="G55" s="3">
        <f t="shared" si="3"/>
        <v>0</v>
      </c>
    </row>
    <row r="56" spans="1:7" ht="15.75" customHeight="1" x14ac:dyDescent="0.25">
      <c r="A56" s="3" t="s">
        <v>396</v>
      </c>
      <c r="B56" s="1">
        <v>13</v>
      </c>
      <c r="C56" s="3" t="s">
        <v>341</v>
      </c>
      <c r="D56" s="70">
        <v>2.79</v>
      </c>
      <c r="E56" s="3">
        <f t="shared" si="0"/>
        <v>36.270000000000003</v>
      </c>
      <c r="F56" s="3">
        <v>0</v>
      </c>
      <c r="G56" s="3">
        <f t="shared" si="3"/>
        <v>0</v>
      </c>
    </row>
    <row r="57" spans="1:7" ht="15.75" customHeight="1" x14ac:dyDescent="0.25">
      <c r="A57" s="3" t="s">
        <v>397</v>
      </c>
      <c r="B57" s="1">
        <v>4.54</v>
      </c>
      <c r="C57" s="3" t="s">
        <v>341</v>
      </c>
      <c r="D57" s="70">
        <v>6.04</v>
      </c>
      <c r="E57" s="3">
        <f t="shared" si="0"/>
        <v>27.421600000000002</v>
      </c>
      <c r="F57" s="3">
        <v>0</v>
      </c>
      <c r="G57" s="3">
        <f t="shared" si="3"/>
        <v>0</v>
      </c>
    </row>
    <row r="58" spans="1:7" ht="15.75" customHeight="1" x14ac:dyDescent="0.25">
      <c r="A58" s="3" t="s">
        <v>398</v>
      </c>
      <c r="B58" s="1">
        <v>0</v>
      </c>
      <c r="C58" s="3" t="s">
        <v>341</v>
      </c>
      <c r="D58" s="70">
        <v>13.26</v>
      </c>
      <c r="E58" s="3">
        <f t="shared" si="0"/>
        <v>0</v>
      </c>
      <c r="F58" s="3">
        <v>0</v>
      </c>
      <c r="G58" s="3">
        <f t="shared" si="3"/>
        <v>0</v>
      </c>
    </row>
    <row r="59" spans="1:7" ht="15.75" customHeight="1" x14ac:dyDescent="0.25">
      <c r="A59" s="3" t="s">
        <v>399</v>
      </c>
      <c r="B59" s="1">
        <v>2.74</v>
      </c>
      <c r="C59" s="3" t="s">
        <v>367</v>
      </c>
      <c r="D59" s="70">
        <v>9.1300000000000008</v>
      </c>
      <c r="E59" s="3">
        <f t="shared" si="0"/>
        <v>25.016200000000005</v>
      </c>
      <c r="F59" s="3">
        <v>0</v>
      </c>
      <c r="G59" s="3">
        <f t="shared" si="3"/>
        <v>0</v>
      </c>
    </row>
    <row r="60" spans="1:7" ht="15.75" customHeight="1" x14ac:dyDescent="0.25">
      <c r="A60" s="3" t="s">
        <v>400</v>
      </c>
      <c r="B60" s="1">
        <v>14.2</v>
      </c>
      <c r="C60" s="3" t="s">
        <v>367</v>
      </c>
      <c r="D60" s="70">
        <v>7.11</v>
      </c>
      <c r="E60" s="3">
        <f t="shared" si="0"/>
        <v>100.962</v>
      </c>
      <c r="F60" s="3">
        <v>0</v>
      </c>
      <c r="G60" s="3">
        <f t="shared" si="3"/>
        <v>0</v>
      </c>
    </row>
    <row r="61" spans="1:7" ht="15.75" customHeight="1" x14ac:dyDescent="0.25">
      <c r="A61" s="3" t="s">
        <v>402</v>
      </c>
      <c r="B61" s="1">
        <v>0</v>
      </c>
      <c r="C61" s="3" t="s">
        <v>373</v>
      </c>
      <c r="D61" s="70">
        <v>39.909999999999997</v>
      </c>
      <c r="E61" s="3">
        <f t="shared" si="0"/>
        <v>0</v>
      </c>
      <c r="F61" s="3">
        <v>0</v>
      </c>
      <c r="G61" s="3">
        <f t="shared" si="3"/>
        <v>0</v>
      </c>
    </row>
    <row r="62" spans="1:7" ht="15.75" customHeight="1" x14ac:dyDescent="0.25">
      <c r="A62" s="3" t="s">
        <v>404</v>
      </c>
      <c r="B62" s="1">
        <v>0</v>
      </c>
      <c r="C62" s="3" t="s">
        <v>341</v>
      </c>
      <c r="D62" s="70">
        <v>10.59</v>
      </c>
      <c r="E62" s="3">
        <f t="shared" si="0"/>
        <v>0</v>
      </c>
      <c r="F62" s="3">
        <v>0</v>
      </c>
      <c r="G62" s="3">
        <f t="shared" si="3"/>
        <v>0</v>
      </c>
    </row>
    <row r="63" spans="1:7" ht="15.75" customHeight="1" x14ac:dyDescent="0.25">
      <c r="A63" s="3" t="s">
        <v>403</v>
      </c>
      <c r="B63" s="1">
        <v>0</v>
      </c>
      <c r="C63" s="3" t="s">
        <v>341</v>
      </c>
      <c r="D63" s="70">
        <v>17.8</v>
      </c>
      <c r="E63" s="3">
        <f t="shared" si="0"/>
        <v>0</v>
      </c>
      <c r="F63" s="3">
        <v>0</v>
      </c>
      <c r="G63" s="3">
        <f t="shared" si="3"/>
        <v>0</v>
      </c>
    </row>
    <row r="64" spans="1:7" ht="15.75" customHeight="1" x14ac:dyDescent="0.25">
      <c r="A64" s="3" t="s">
        <v>405</v>
      </c>
      <c r="B64" s="1">
        <v>0</v>
      </c>
      <c r="C64" s="3" t="s">
        <v>373</v>
      </c>
      <c r="D64" s="70">
        <v>7</v>
      </c>
      <c r="E64" s="3">
        <f t="shared" si="0"/>
        <v>0</v>
      </c>
      <c r="F64" s="3">
        <v>0</v>
      </c>
      <c r="G64" s="3">
        <f t="shared" si="3"/>
        <v>0</v>
      </c>
    </row>
    <row r="65" spans="1:7" ht="15.75" customHeight="1" x14ac:dyDescent="0.25">
      <c r="A65" s="3" t="s">
        <v>406</v>
      </c>
      <c r="B65" s="1">
        <v>0</v>
      </c>
      <c r="C65" s="3" t="s">
        <v>373</v>
      </c>
      <c r="D65" s="70">
        <v>45.7</v>
      </c>
      <c r="E65" s="3">
        <f t="shared" si="0"/>
        <v>0</v>
      </c>
      <c r="F65" s="3">
        <v>0</v>
      </c>
      <c r="G65" s="3">
        <f t="shared" si="3"/>
        <v>0</v>
      </c>
    </row>
    <row r="66" spans="1:7" ht="15.75" customHeight="1" x14ac:dyDescent="0.25">
      <c r="A66" s="3" t="s">
        <v>407</v>
      </c>
      <c r="B66" s="1">
        <v>0</v>
      </c>
      <c r="C66" s="3" t="s">
        <v>373</v>
      </c>
      <c r="D66" s="70">
        <v>4.6500000000000004</v>
      </c>
      <c r="E66" s="3">
        <f t="shared" si="0"/>
        <v>0</v>
      </c>
      <c r="F66" s="3">
        <v>0</v>
      </c>
      <c r="G66" s="3">
        <f t="shared" si="3"/>
        <v>0</v>
      </c>
    </row>
    <row r="67" spans="1:7" ht="15.75" customHeight="1" x14ac:dyDescent="0.25">
      <c r="A67" s="3" t="s">
        <v>408</v>
      </c>
      <c r="B67" s="1">
        <v>0</v>
      </c>
      <c r="C67" s="3" t="s">
        <v>367</v>
      </c>
      <c r="D67" s="70">
        <v>13.2</v>
      </c>
      <c r="E67" s="3">
        <f t="shared" ref="E67:E105" si="4">D67*B67</f>
        <v>0</v>
      </c>
      <c r="F67" s="3">
        <v>0</v>
      </c>
      <c r="G67" s="3">
        <f t="shared" si="3"/>
        <v>0</v>
      </c>
    </row>
    <row r="68" spans="1:7" ht="15.75" customHeight="1" x14ac:dyDescent="0.25">
      <c r="A68" s="3" t="s">
        <v>409</v>
      </c>
      <c r="B68" s="1">
        <v>9.19</v>
      </c>
      <c r="C68" s="3" t="s">
        <v>373</v>
      </c>
      <c r="D68" s="70">
        <v>26</v>
      </c>
      <c r="E68" s="3">
        <f t="shared" si="4"/>
        <v>238.94</v>
      </c>
      <c r="F68" s="3">
        <v>0</v>
      </c>
      <c r="G68" s="3">
        <f t="shared" si="3"/>
        <v>0</v>
      </c>
    </row>
    <row r="69" spans="1:7" ht="15.75" customHeight="1" x14ac:dyDescent="0.25">
      <c r="A69" s="3" t="s">
        <v>410</v>
      </c>
      <c r="B69" s="1">
        <v>0</v>
      </c>
      <c r="C69" s="3" t="s">
        <v>373</v>
      </c>
      <c r="D69" s="70">
        <v>10</v>
      </c>
      <c r="E69" s="3">
        <f t="shared" si="4"/>
        <v>0</v>
      </c>
      <c r="F69" s="3">
        <v>0</v>
      </c>
      <c r="G69" s="3">
        <f t="shared" si="3"/>
        <v>0</v>
      </c>
    </row>
    <row r="70" spans="1:7" ht="15.75" customHeight="1" x14ac:dyDescent="0.25">
      <c r="A70" s="3" t="s">
        <v>411</v>
      </c>
      <c r="B70" s="1">
        <v>6.87</v>
      </c>
      <c r="C70" s="3" t="s">
        <v>373</v>
      </c>
      <c r="D70" s="70">
        <v>22.02</v>
      </c>
      <c r="E70" s="3">
        <f t="shared" si="4"/>
        <v>151.2774</v>
      </c>
      <c r="F70" s="3">
        <v>0</v>
      </c>
      <c r="G70" s="3">
        <f t="shared" si="3"/>
        <v>0</v>
      </c>
    </row>
    <row r="71" spans="1:7" ht="15.75" customHeight="1" x14ac:dyDescent="0.25">
      <c r="A71" s="3" t="s">
        <v>957</v>
      </c>
      <c r="B71" s="1">
        <v>0.15</v>
      </c>
      <c r="C71" s="3" t="s">
        <v>347</v>
      </c>
      <c r="D71" s="70">
        <v>6.1</v>
      </c>
      <c r="E71" s="3">
        <f t="shared" si="4"/>
        <v>0.91499999999999992</v>
      </c>
      <c r="F71" s="3">
        <v>0</v>
      </c>
      <c r="G71" s="3">
        <f t="shared" si="3"/>
        <v>0</v>
      </c>
    </row>
    <row r="72" spans="1:7" ht="15.75" customHeight="1" x14ac:dyDescent="0.25">
      <c r="A72" s="3" t="s">
        <v>413</v>
      </c>
      <c r="B72" s="1">
        <v>95</v>
      </c>
      <c r="C72" s="3" t="s">
        <v>373</v>
      </c>
      <c r="D72" s="70">
        <v>0.67</v>
      </c>
      <c r="E72" s="3">
        <f t="shared" si="4"/>
        <v>63.650000000000006</v>
      </c>
      <c r="F72" s="3">
        <v>0</v>
      </c>
      <c r="G72" s="3">
        <f t="shared" si="3"/>
        <v>0</v>
      </c>
    </row>
    <row r="73" spans="1:7" ht="15.75" customHeight="1" x14ac:dyDescent="0.25">
      <c r="A73" s="3" t="s">
        <v>414</v>
      </c>
      <c r="B73" s="1">
        <v>0</v>
      </c>
      <c r="C73" s="3" t="s">
        <v>373</v>
      </c>
      <c r="D73" s="70">
        <v>0</v>
      </c>
      <c r="E73" s="3">
        <f t="shared" si="4"/>
        <v>0</v>
      </c>
      <c r="F73" s="3">
        <v>0</v>
      </c>
      <c r="G73" s="3">
        <f t="shared" si="3"/>
        <v>0</v>
      </c>
    </row>
    <row r="74" spans="1:7" ht="15.75" customHeight="1" x14ac:dyDescent="0.25">
      <c r="A74" s="3" t="s">
        <v>412</v>
      </c>
      <c r="B74" s="1">
        <v>0</v>
      </c>
      <c r="C74" s="3" t="s">
        <v>14</v>
      </c>
      <c r="D74" s="70">
        <v>1.4</v>
      </c>
      <c r="E74" s="3">
        <f t="shared" si="4"/>
        <v>0</v>
      </c>
      <c r="F74" s="3">
        <v>0</v>
      </c>
      <c r="G74" s="3">
        <f t="shared" si="3"/>
        <v>0</v>
      </c>
    </row>
    <row r="75" spans="1:7" ht="15.75" customHeight="1" x14ac:dyDescent="0.25">
      <c r="A75" s="3" t="s">
        <v>415</v>
      </c>
      <c r="B75" s="1">
        <v>0.5</v>
      </c>
      <c r="C75" s="3" t="s">
        <v>341</v>
      </c>
      <c r="D75" s="70">
        <v>19.97</v>
      </c>
      <c r="E75" s="3">
        <f t="shared" si="4"/>
        <v>9.9849999999999994</v>
      </c>
      <c r="F75" s="3">
        <v>0</v>
      </c>
      <c r="G75" s="3">
        <f t="shared" si="3"/>
        <v>0</v>
      </c>
    </row>
    <row r="76" spans="1:7" ht="15.75" customHeight="1" x14ac:dyDescent="0.25">
      <c r="A76" s="3" t="s">
        <v>416</v>
      </c>
      <c r="B76" s="1">
        <v>2.4</v>
      </c>
      <c r="C76" s="3" t="s">
        <v>367</v>
      </c>
      <c r="D76" s="70">
        <v>8.77</v>
      </c>
      <c r="E76" s="3">
        <f t="shared" si="4"/>
        <v>21.047999999999998</v>
      </c>
      <c r="F76" s="3">
        <v>0</v>
      </c>
      <c r="G76" s="3">
        <f t="shared" si="3"/>
        <v>0</v>
      </c>
    </row>
    <row r="77" spans="1:7" ht="15.75" customHeight="1" x14ac:dyDescent="0.25">
      <c r="A77" s="3" t="s">
        <v>417</v>
      </c>
      <c r="B77" s="1">
        <v>0</v>
      </c>
      <c r="C77" s="3" t="s">
        <v>341</v>
      </c>
      <c r="D77" s="70">
        <v>14.9</v>
      </c>
      <c r="E77" s="3">
        <f t="shared" si="4"/>
        <v>0</v>
      </c>
      <c r="F77" s="3">
        <v>0</v>
      </c>
      <c r="G77" s="3">
        <f t="shared" si="3"/>
        <v>0</v>
      </c>
    </row>
    <row r="78" spans="1:7" ht="15.75" customHeight="1" x14ac:dyDescent="0.25">
      <c r="A78" s="3" t="s">
        <v>418</v>
      </c>
      <c r="B78" s="1">
        <v>0</v>
      </c>
      <c r="C78" s="3" t="s">
        <v>341</v>
      </c>
      <c r="D78" s="70">
        <v>14.99</v>
      </c>
      <c r="E78" s="3">
        <f t="shared" si="4"/>
        <v>0</v>
      </c>
      <c r="F78" s="3">
        <v>0</v>
      </c>
      <c r="G78" s="3">
        <f t="shared" si="3"/>
        <v>0</v>
      </c>
    </row>
    <row r="79" spans="1:7" ht="15.75" customHeight="1" x14ac:dyDescent="0.25">
      <c r="A79" s="3" t="s">
        <v>420</v>
      </c>
      <c r="B79" s="1">
        <v>0.06</v>
      </c>
      <c r="C79" s="3" t="s">
        <v>341</v>
      </c>
      <c r="D79" s="70">
        <v>61.53</v>
      </c>
      <c r="E79" s="3">
        <f t="shared" si="4"/>
        <v>3.6917999999999997</v>
      </c>
      <c r="F79" s="3">
        <v>0</v>
      </c>
      <c r="G79" s="3">
        <f t="shared" si="3"/>
        <v>0</v>
      </c>
    </row>
    <row r="80" spans="1:7" ht="15.75" customHeight="1" x14ac:dyDescent="0.25">
      <c r="A80" s="3" t="s">
        <v>419</v>
      </c>
      <c r="B80" s="1">
        <v>0</v>
      </c>
      <c r="C80" s="3" t="s">
        <v>367</v>
      </c>
      <c r="D80" s="70">
        <v>31.56</v>
      </c>
      <c r="E80" s="3">
        <f t="shared" si="4"/>
        <v>0</v>
      </c>
      <c r="F80" s="3">
        <v>0</v>
      </c>
      <c r="G80" s="3">
        <f t="shared" si="3"/>
        <v>0</v>
      </c>
    </row>
    <row r="81" spans="1:7" ht="15.75" customHeight="1" x14ac:dyDescent="0.25">
      <c r="A81" s="3" t="s">
        <v>421</v>
      </c>
      <c r="B81" s="1">
        <v>1.1499999999999999</v>
      </c>
      <c r="C81" s="3" t="s">
        <v>341</v>
      </c>
      <c r="D81" s="70">
        <v>73.53</v>
      </c>
      <c r="E81" s="3">
        <f t="shared" si="4"/>
        <v>84.5595</v>
      </c>
      <c r="F81" s="3">
        <v>0</v>
      </c>
      <c r="G81" s="3">
        <f t="shared" si="3"/>
        <v>0</v>
      </c>
    </row>
    <row r="82" spans="1:7" ht="15.75" customHeight="1" x14ac:dyDescent="0.25">
      <c r="A82" s="3" t="s">
        <v>422</v>
      </c>
      <c r="B82" s="1">
        <v>0.52</v>
      </c>
      <c r="C82" s="3" t="s">
        <v>367</v>
      </c>
      <c r="D82" s="70">
        <v>24.06</v>
      </c>
      <c r="E82" s="3">
        <f t="shared" si="4"/>
        <v>12.511200000000001</v>
      </c>
      <c r="F82" s="3">
        <v>0</v>
      </c>
      <c r="G82" s="3">
        <f t="shared" si="3"/>
        <v>0</v>
      </c>
    </row>
    <row r="83" spans="1:7" ht="15.75" customHeight="1" x14ac:dyDescent="0.25">
      <c r="A83" s="3" t="s">
        <v>423</v>
      </c>
      <c r="B83" s="1">
        <v>0</v>
      </c>
      <c r="C83" s="3" t="s">
        <v>367</v>
      </c>
      <c r="D83" s="70">
        <v>8.5500000000000007</v>
      </c>
      <c r="E83" s="3">
        <f t="shared" si="4"/>
        <v>0</v>
      </c>
      <c r="F83" s="3">
        <v>0</v>
      </c>
      <c r="G83" s="3">
        <f t="shared" si="3"/>
        <v>0</v>
      </c>
    </row>
    <row r="84" spans="1:7" ht="15.75" customHeight="1" x14ac:dyDescent="0.25">
      <c r="A84" s="3" t="s">
        <v>424</v>
      </c>
      <c r="B84" s="1">
        <v>0</v>
      </c>
      <c r="C84" s="3" t="s">
        <v>367</v>
      </c>
      <c r="D84" s="70">
        <v>24.06</v>
      </c>
      <c r="E84" s="3">
        <f t="shared" si="4"/>
        <v>0</v>
      </c>
      <c r="F84" s="3">
        <v>0</v>
      </c>
      <c r="G84" s="3">
        <f t="shared" si="3"/>
        <v>0</v>
      </c>
    </row>
    <row r="85" spans="1:7" ht="15.75" customHeight="1" x14ac:dyDescent="0.25">
      <c r="A85" s="3" t="s">
        <v>425</v>
      </c>
      <c r="B85" s="1">
        <v>0</v>
      </c>
      <c r="C85" s="3" t="s">
        <v>341</v>
      </c>
      <c r="D85" s="70">
        <v>8.02</v>
      </c>
      <c r="E85" s="3">
        <f t="shared" si="4"/>
        <v>0</v>
      </c>
      <c r="F85" s="3">
        <v>0</v>
      </c>
      <c r="G85" s="3">
        <f t="shared" si="3"/>
        <v>0</v>
      </c>
    </row>
    <row r="86" spans="1:7" ht="15.75" customHeight="1" x14ac:dyDescent="0.25">
      <c r="A86" s="3" t="s">
        <v>426</v>
      </c>
      <c r="B86" s="1">
        <v>0.37</v>
      </c>
      <c r="C86" s="3" t="s">
        <v>373</v>
      </c>
      <c r="D86" s="70">
        <v>4.5</v>
      </c>
      <c r="E86" s="3">
        <f t="shared" si="4"/>
        <v>1.665</v>
      </c>
      <c r="F86" s="3">
        <v>0</v>
      </c>
      <c r="G86" s="3">
        <f t="shared" si="3"/>
        <v>0</v>
      </c>
    </row>
    <row r="87" spans="1:7" ht="15.75" customHeight="1" x14ac:dyDescent="0.25">
      <c r="A87" s="3" t="s">
        <v>427</v>
      </c>
      <c r="B87" s="1">
        <v>0</v>
      </c>
      <c r="C87" s="3" t="s">
        <v>373</v>
      </c>
      <c r="D87" s="70">
        <v>2.2999999999999998</v>
      </c>
      <c r="E87" s="3">
        <f t="shared" si="4"/>
        <v>0</v>
      </c>
      <c r="F87" s="3">
        <v>0</v>
      </c>
      <c r="G87" s="3">
        <f t="shared" si="3"/>
        <v>0</v>
      </c>
    </row>
    <row r="88" spans="1:7" ht="15.75" customHeight="1" x14ac:dyDescent="0.25">
      <c r="A88" s="3" t="s">
        <v>428</v>
      </c>
      <c r="B88" s="1">
        <v>6.21</v>
      </c>
      <c r="C88" s="3" t="s">
        <v>341</v>
      </c>
      <c r="D88" s="70">
        <v>10.4</v>
      </c>
      <c r="E88" s="3">
        <f t="shared" si="4"/>
        <v>64.584000000000003</v>
      </c>
      <c r="F88" s="3">
        <v>0</v>
      </c>
      <c r="G88" s="3">
        <f t="shared" si="3"/>
        <v>0</v>
      </c>
    </row>
    <row r="89" spans="1:7" ht="15.75" customHeight="1" x14ac:dyDescent="0.25">
      <c r="A89" s="3" t="s">
        <v>429</v>
      </c>
      <c r="B89" s="1">
        <v>0</v>
      </c>
      <c r="C89" s="3" t="s">
        <v>373</v>
      </c>
      <c r="D89" s="70">
        <v>27</v>
      </c>
      <c r="E89" s="3">
        <f t="shared" si="4"/>
        <v>0</v>
      </c>
      <c r="F89" s="3">
        <v>0</v>
      </c>
      <c r="G89" s="3">
        <f t="shared" si="3"/>
        <v>0</v>
      </c>
    </row>
    <row r="90" spans="1:7" ht="15.75" customHeight="1" x14ac:dyDescent="0.25">
      <c r="A90" s="3" t="s">
        <v>431</v>
      </c>
      <c r="B90" s="1">
        <v>0.75</v>
      </c>
      <c r="C90" s="3" t="s">
        <v>373</v>
      </c>
      <c r="D90" s="70">
        <v>24.2</v>
      </c>
      <c r="E90" s="3">
        <f t="shared" si="4"/>
        <v>18.149999999999999</v>
      </c>
      <c r="F90" s="3">
        <v>0</v>
      </c>
      <c r="G90" s="3">
        <f t="shared" si="3"/>
        <v>0</v>
      </c>
    </row>
    <row r="91" spans="1:7" ht="15.75" customHeight="1" x14ac:dyDescent="0.25">
      <c r="A91" s="3" t="s">
        <v>432</v>
      </c>
      <c r="B91" s="1">
        <v>0</v>
      </c>
      <c r="C91" s="3" t="s">
        <v>350</v>
      </c>
      <c r="D91" s="70">
        <v>2.2000000000000002</v>
      </c>
      <c r="E91" s="3">
        <f t="shared" si="4"/>
        <v>0</v>
      </c>
      <c r="F91" s="3">
        <v>0</v>
      </c>
      <c r="G91" s="3">
        <f t="shared" si="3"/>
        <v>0</v>
      </c>
    </row>
    <row r="92" spans="1:7" ht="15.75" customHeight="1" x14ac:dyDescent="0.25">
      <c r="A92" s="3" t="s">
        <v>430</v>
      </c>
      <c r="B92" s="1">
        <v>0</v>
      </c>
      <c r="C92" s="3" t="s">
        <v>14</v>
      </c>
      <c r="D92" s="70">
        <v>7.5</v>
      </c>
      <c r="E92" s="3">
        <f t="shared" si="4"/>
        <v>0</v>
      </c>
      <c r="F92" s="3">
        <v>0</v>
      </c>
      <c r="G92" s="3">
        <v>0</v>
      </c>
    </row>
    <row r="93" spans="1:7" ht="15.75" customHeight="1" x14ac:dyDescent="0.25">
      <c r="A93" s="3" t="s">
        <v>433</v>
      </c>
      <c r="B93" s="1">
        <v>0</v>
      </c>
      <c r="C93" s="3" t="s">
        <v>373</v>
      </c>
      <c r="D93" s="70">
        <v>2.4</v>
      </c>
      <c r="E93" s="3">
        <f t="shared" si="4"/>
        <v>0</v>
      </c>
      <c r="F93" s="3">
        <v>0</v>
      </c>
      <c r="G93" s="3">
        <f t="shared" ref="G93:G105" si="5">D93*F93</f>
        <v>0</v>
      </c>
    </row>
    <row r="94" spans="1:7" ht="15.75" customHeight="1" x14ac:dyDescent="0.25">
      <c r="A94" s="3" t="s">
        <v>434</v>
      </c>
      <c r="B94" s="1">
        <v>0</v>
      </c>
      <c r="C94" s="3" t="s">
        <v>373</v>
      </c>
      <c r="D94" s="70">
        <v>9.4</v>
      </c>
      <c r="E94" s="3">
        <f t="shared" si="4"/>
        <v>0</v>
      </c>
      <c r="F94" s="3">
        <v>0</v>
      </c>
      <c r="G94" s="3">
        <f t="shared" si="5"/>
        <v>0</v>
      </c>
    </row>
    <row r="95" spans="1:7" ht="15.75" customHeight="1" x14ac:dyDescent="0.25">
      <c r="A95" s="3" t="s">
        <v>435</v>
      </c>
      <c r="B95" s="1">
        <v>0</v>
      </c>
      <c r="C95" s="3" t="s">
        <v>373</v>
      </c>
      <c r="D95" s="70">
        <v>9.9499999999999993</v>
      </c>
      <c r="E95" s="3">
        <f t="shared" si="4"/>
        <v>0</v>
      </c>
      <c r="F95" s="3">
        <v>0</v>
      </c>
      <c r="G95" s="3">
        <f t="shared" si="5"/>
        <v>0</v>
      </c>
    </row>
    <row r="96" spans="1:7" ht="15.75" customHeight="1" x14ac:dyDescent="0.25">
      <c r="A96" s="3" t="s">
        <v>436</v>
      </c>
      <c r="B96" s="1">
        <v>2.66</v>
      </c>
      <c r="C96" s="3" t="s">
        <v>341</v>
      </c>
      <c r="D96" s="70">
        <v>12.18</v>
      </c>
      <c r="E96" s="3">
        <f t="shared" si="4"/>
        <v>32.398800000000001</v>
      </c>
      <c r="F96" s="3">
        <v>0</v>
      </c>
      <c r="G96" s="3">
        <f t="shared" si="5"/>
        <v>0</v>
      </c>
    </row>
    <row r="97" spans="1:7" ht="15.75" customHeight="1" x14ac:dyDescent="0.25">
      <c r="A97" s="3" t="s">
        <v>437</v>
      </c>
      <c r="B97" s="1">
        <v>0.22</v>
      </c>
      <c r="C97" s="3" t="s">
        <v>341</v>
      </c>
      <c r="D97" s="70">
        <v>24</v>
      </c>
      <c r="E97" s="3">
        <f t="shared" si="4"/>
        <v>5.28</v>
      </c>
      <c r="F97" s="3">
        <v>0</v>
      </c>
      <c r="G97" s="3">
        <f t="shared" si="5"/>
        <v>0</v>
      </c>
    </row>
    <row r="98" spans="1:7" ht="15.75" customHeight="1" x14ac:dyDescent="0.25">
      <c r="A98" s="3" t="s">
        <v>439</v>
      </c>
      <c r="B98" s="1">
        <v>0</v>
      </c>
      <c r="C98" s="3" t="s">
        <v>14</v>
      </c>
      <c r="D98" s="70">
        <v>6</v>
      </c>
      <c r="E98" s="3">
        <f t="shared" si="4"/>
        <v>0</v>
      </c>
      <c r="F98" s="3">
        <v>0</v>
      </c>
      <c r="G98" s="3">
        <f t="shared" si="5"/>
        <v>0</v>
      </c>
    </row>
    <row r="99" spans="1:7" ht="15.75" customHeight="1" x14ac:dyDescent="0.25">
      <c r="A99" s="3" t="s">
        <v>438</v>
      </c>
      <c r="B99" s="1">
        <v>0</v>
      </c>
      <c r="C99" s="3" t="s">
        <v>14</v>
      </c>
      <c r="D99" s="70">
        <v>4.8</v>
      </c>
      <c r="E99" s="3">
        <f t="shared" si="4"/>
        <v>0</v>
      </c>
      <c r="F99" s="3">
        <v>0</v>
      </c>
      <c r="G99" s="3">
        <f t="shared" si="5"/>
        <v>0</v>
      </c>
    </row>
    <row r="100" spans="1:7" ht="15.75" customHeight="1" x14ac:dyDescent="0.25">
      <c r="A100" s="3" t="s">
        <v>440</v>
      </c>
      <c r="B100" s="1">
        <v>2.4500000000000002</v>
      </c>
      <c r="C100" s="3" t="s">
        <v>341</v>
      </c>
      <c r="D100" s="70">
        <v>6.83</v>
      </c>
      <c r="E100" s="3">
        <f t="shared" si="4"/>
        <v>16.733500000000003</v>
      </c>
      <c r="F100" s="3">
        <v>0</v>
      </c>
      <c r="G100" s="3">
        <f t="shared" si="5"/>
        <v>0</v>
      </c>
    </row>
    <row r="101" spans="1:7" ht="15.75" customHeight="1" x14ac:dyDescent="0.25">
      <c r="A101" s="3" t="s">
        <v>441</v>
      </c>
      <c r="B101" s="1">
        <v>0</v>
      </c>
      <c r="C101" s="3" t="s">
        <v>341</v>
      </c>
      <c r="D101" s="70">
        <v>7.6</v>
      </c>
      <c r="E101" s="3">
        <f t="shared" si="4"/>
        <v>0</v>
      </c>
      <c r="F101" s="3">
        <v>0</v>
      </c>
      <c r="G101" s="3">
        <f t="shared" si="5"/>
        <v>0</v>
      </c>
    </row>
    <row r="102" spans="1:7" ht="15.75" customHeight="1" x14ac:dyDescent="0.25">
      <c r="A102" s="3" t="s">
        <v>442</v>
      </c>
      <c r="B102" s="1">
        <v>0</v>
      </c>
      <c r="C102" s="3" t="s">
        <v>350</v>
      </c>
      <c r="D102" s="70">
        <v>40.159999999999997</v>
      </c>
      <c r="E102" s="3">
        <f t="shared" si="4"/>
        <v>0</v>
      </c>
      <c r="F102" s="3">
        <v>0</v>
      </c>
      <c r="G102" s="3">
        <f t="shared" si="5"/>
        <v>0</v>
      </c>
    </row>
    <row r="103" spans="1:7" ht="15.75" customHeight="1" x14ac:dyDescent="0.25">
      <c r="A103" s="3" t="s">
        <v>443</v>
      </c>
      <c r="B103" s="1">
        <v>0</v>
      </c>
      <c r="C103" s="3" t="s">
        <v>341</v>
      </c>
      <c r="D103" s="70">
        <v>36.56</v>
      </c>
      <c r="E103" s="3">
        <f t="shared" si="4"/>
        <v>0</v>
      </c>
      <c r="F103" s="3">
        <v>0</v>
      </c>
      <c r="G103" s="3">
        <f t="shared" si="5"/>
        <v>0</v>
      </c>
    </row>
    <row r="104" spans="1:7" ht="15.75" customHeight="1" x14ac:dyDescent="0.25">
      <c r="A104" s="3" t="s">
        <v>444</v>
      </c>
      <c r="B104" s="1">
        <v>0</v>
      </c>
      <c r="C104" s="3" t="s">
        <v>341</v>
      </c>
      <c r="D104" s="70">
        <v>36.56</v>
      </c>
      <c r="E104" s="3">
        <f t="shared" si="4"/>
        <v>0</v>
      </c>
      <c r="F104" s="3">
        <v>0</v>
      </c>
      <c r="G104" s="3">
        <f t="shared" si="5"/>
        <v>0</v>
      </c>
    </row>
    <row r="105" spans="1:7" ht="15.75" customHeight="1" x14ac:dyDescent="0.25">
      <c r="A105" s="3" t="s">
        <v>445</v>
      </c>
      <c r="B105" s="1">
        <v>0</v>
      </c>
      <c r="C105" s="3" t="s">
        <v>350</v>
      </c>
      <c r="D105" s="82">
        <v>17.600000000000001</v>
      </c>
      <c r="E105" s="3">
        <f t="shared" si="4"/>
        <v>0</v>
      </c>
      <c r="F105" s="3">
        <v>0</v>
      </c>
      <c r="G105" s="3">
        <f t="shared" si="5"/>
        <v>0</v>
      </c>
    </row>
    <row r="106" spans="1:7" ht="15.75" customHeight="1" x14ac:dyDescent="0.25">
      <c r="A106" s="61"/>
      <c r="B106" s="62"/>
      <c r="C106" s="62"/>
      <c r="D106" s="62"/>
      <c r="E106" s="62"/>
      <c r="F106" s="62"/>
      <c r="G106" s="63"/>
    </row>
    <row r="107" spans="1:7" ht="15.75" customHeight="1" x14ac:dyDescent="0.25">
      <c r="A107" s="105" t="s">
        <v>446</v>
      </c>
      <c r="B107" s="62"/>
      <c r="C107" s="62"/>
      <c r="D107" s="63"/>
      <c r="E107" s="54">
        <f>SUM(E3:E105)</f>
        <v>1349.4322</v>
      </c>
      <c r="F107" s="59"/>
      <c r="G107" s="59">
        <f>SUM(G3:G105)</f>
        <v>0</v>
      </c>
    </row>
    <row r="108" spans="1:7" ht="15.75" customHeight="1" x14ac:dyDescent="0.25">
      <c r="A108" s="106"/>
      <c r="B108" s="62"/>
      <c r="C108" s="62"/>
      <c r="D108" s="62"/>
      <c r="E108" s="62"/>
      <c r="F108" s="62"/>
      <c r="G108" s="63"/>
    </row>
  </sheetData>
  <sortState xmlns:xlrd2="http://schemas.microsoft.com/office/spreadsheetml/2017/richdata2" ref="A3:G105">
    <sortCondition ref="A2:A105"/>
  </sortState>
  <mergeCells count="4">
    <mergeCell ref="A1:G1"/>
    <mergeCell ref="A106:G106"/>
    <mergeCell ref="A107:D107"/>
    <mergeCell ref="A108:G108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topLeftCell="A16" workbookViewId="0">
      <selection activeCell="E50" sqref="E50"/>
    </sheetView>
  </sheetViews>
  <sheetFormatPr defaultColWidth="14.42578125" defaultRowHeight="15.75" customHeight="1" x14ac:dyDescent="0.25"/>
  <cols>
    <col min="1" max="1" width="30.7109375" style="53" customWidth="1"/>
    <col min="2" max="2" width="8.7109375" style="53" customWidth="1"/>
    <col min="3" max="3" width="13.140625" style="53" customWidth="1"/>
    <col min="4" max="4" width="14.28515625" style="53" customWidth="1"/>
    <col min="5" max="5" width="14.42578125" style="53"/>
    <col min="6" max="6" width="8.7109375" style="53" customWidth="1"/>
    <col min="7" max="16384" width="14.42578125" style="53"/>
  </cols>
  <sheetData>
    <row r="1" spans="1:11" ht="15.75" customHeight="1" x14ac:dyDescent="0.25">
      <c r="A1" s="97" t="s">
        <v>447</v>
      </c>
      <c r="B1" s="98"/>
      <c r="C1" s="98"/>
      <c r="D1" s="98"/>
      <c r="E1" s="99"/>
    </row>
    <row r="2" spans="1:11" ht="15.75" customHeight="1" x14ac:dyDescent="0.25">
      <c r="A2" s="73" t="s">
        <v>448</v>
      </c>
      <c r="B2" s="73" t="s">
        <v>449</v>
      </c>
      <c r="C2" s="73" t="s">
        <v>14</v>
      </c>
      <c r="D2" s="100" t="s">
        <v>3</v>
      </c>
      <c r="E2" s="57" t="s">
        <v>4</v>
      </c>
    </row>
    <row r="3" spans="1:11" ht="15.75" customHeight="1" x14ac:dyDescent="0.25">
      <c r="A3" s="82" t="s">
        <v>455</v>
      </c>
      <c r="B3" s="1">
        <v>0</v>
      </c>
      <c r="C3" s="1">
        <v>0</v>
      </c>
      <c r="D3" s="58">
        <v>0.86</v>
      </c>
      <c r="E3" s="4">
        <f>SUM(B3+C3)*D3</f>
        <v>0</v>
      </c>
    </row>
    <row r="4" spans="1:11" ht="15.75" customHeight="1" x14ac:dyDescent="0.25">
      <c r="A4" s="82" t="s">
        <v>456</v>
      </c>
      <c r="B4" s="1">
        <v>0</v>
      </c>
      <c r="C4" s="1">
        <v>0</v>
      </c>
      <c r="D4" s="58">
        <v>10.5</v>
      </c>
      <c r="E4" s="4">
        <f t="shared" ref="E4:E48" si="0">SUM(B4+C4)*D4</f>
        <v>0</v>
      </c>
      <c r="F4" s="60"/>
      <c r="G4" s="60"/>
      <c r="H4" s="60"/>
      <c r="I4" s="60"/>
      <c r="J4" s="60"/>
      <c r="K4" s="60"/>
    </row>
    <row r="5" spans="1:11" ht="15.75" customHeight="1" x14ac:dyDescent="0.25">
      <c r="A5" s="82" t="s">
        <v>457</v>
      </c>
      <c r="B5" s="1">
        <v>0</v>
      </c>
      <c r="C5" s="1">
        <v>0</v>
      </c>
      <c r="D5" s="94">
        <v>9</v>
      </c>
      <c r="E5" s="4">
        <f t="shared" si="0"/>
        <v>0</v>
      </c>
    </row>
    <row r="6" spans="1:11" ht="15.75" customHeight="1" x14ac:dyDescent="0.25">
      <c r="A6" s="82" t="s">
        <v>849</v>
      </c>
      <c r="B6" s="1">
        <v>0</v>
      </c>
      <c r="C6" s="1">
        <v>0</v>
      </c>
      <c r="D6" s="94">
        <v>0.98</v>
      </c>
      <c r="E6" s="4">
        <f t="shared" si="0"/>
        <v>0</v>
      </c>
    </row>
    <row r="7" spans="1:11" ht="15.75" customHeight="1" x14ac:dyDescent="0.25">
      <c r="A7" s="82" t="s">
        <v>450</v>
      </c>
      <c r="B7" s="1">
        <v>0</v>
      </c>
      <c r="C7" s="1">
        <v>0</v>
      </c>
      <c r="D7" s="94">
        <v>7.75</v>
      </c>
      <c r="E7" s="4">
        <f t="shared" si="0"/>
        <v>0</v>
      </c>
    </row>
    <row r="8" spans="1:11" ht="15.75" customHeight="1" x14ac:dyDescent="0.25">
      <c r="A8" s="82" t="s">
        <v>861</v>
      </c>
      <c r="B8" s="1">
        <v>17</v>
      </c>
      <c r="C8" s="1">
        <v>0</v>
      </c>
      <c r="D8" s="94">
        <v>7.38</v>
      </c>
      <c r="E8" s="4">
        <f t="shared" si="0"/>
        <v>125.46</v>
      </c>
    </row>
    <row r="9" spans="1:11" ht="15.75" customHeight="1" x14ac:dyDescent="0.25">
      <c r="A9" s="82" t="s">
        <v>451</v>
      </c>
      <c r="B9" s="1">
        <v>0</v>
      </c>
      <c r="C9" s="1">
        <v>0</v>
      </c>
      <c r="D9" s="94">
        <v>0.75</v>
      </c>
      <c r="E9" s="4">
        <f t="shared" si="0"/>
        <v>0</v>
      </c>
    </row>
    <row r="10" spans="1:11" ht="15.75" customHeight="1" x14ac:dyDescent="0.25">
      <c r="A10" s="82" t="s">
        <v>452</v>
      </c>
      <c r="B10" s="1">
        <v>26</v>
      </c>
      <c r="C10" s="1">
        <v>0</v>
      </c>
      <c r="D10" s="94">
        <v>15.8</v>
      </c>
      <c r="E10" s="4">
        <f t="shared" si="0"/>
        <v>410.8</v>
      </c>
    </row>
    <row r="11" spans="1:11" ht="15.75" customHeight="1" x14ac:dyDescent="0.25">
      <c r="A11" s="82" t="s">
        <v>454</v>
      </c>
      <c r="B11" s="1">
        <v>0</v>
      </c>
      <c r="C11" s="1">
        <v>0</v>
      </c>
      <c r="D11" s="94">
        <v>2.6</v>
      </c>
      <c r="E11" s="4">
        <f t="shared" si="0"/>
        <v>0</v>
      </c>
    </row>
    <row r="12" spans="1:11" ht="15.75" customHeight="1" x14ac:dyDescent="0.25">
      <c r="A12" s="82" t="s">
        <v>453</v>
      </c>
      <c r="B12" s="1">
        <v>0</v>
      </c>
      <c r="C12" s="1">
        <v>0</v>
      </c>
      <c r="D12" s="94">
        <v>0</v>
      </c>
      <c r="E12" s="4">
        <f t="shared" si="0"/>
        <v>0</v>
      </c>
    </row>
    <row r="13" spans="1:11" ht="15.75" customHeight="1" x14ac:dyDescent="0.25">
      <c r="A13" s="82" t="s">
        <v>458</v>
      </c>
      <c r="B13" s="1">
        <v>0</v>
      </c>
      <c r="C13" s="1">
        <v>0</v>
      </c>
      <c r="D13" s="94">
        <v>0.75</v>
      </c>
      <c r="E13" s="4">
        <f t="shared" si="0"/>
        <v>0</v>
      </c>
    </row>
    <row r="14" spans="1:11" ht="15.75" customHeight="1" x14ac:dyDescent="0.25">
      <c r="A14" s="82" t="s">
        <v>886</v>
      </c>
      <c r="B14" s="1">
        <v>0</v>
      </c>
      <c r="C14" s="1">
        <v>0</v>
      </c>
      <c r="D14" s="94">
        <v>9.8000000000000007</v>
      </c>
      <c r="E14" s="4">
        <f t="shared" si="0"/>
        <v>0</v>
      </c>
    </row>
    <row r="15" spans="1:11" ht="15.75" customHeight="1" x14ac:dyDescent="0.25">
      <c r="A15" s="82" t="s">
        <v>459</v>
      </c>
      <c r="B15" s="1">
        <v>19</v>
      </c>
      <c r="C15" s="1">
        <v>0</v>
      </c>
      <c r="D15" s="58">
        <v>4.5</v>
      </c>
      <c r="E15" s="4">
        <f t="shared" si="0"/>
        <v>85.5</v>
      </c>
    </row>
    <row r="16" spans="1:11" ht="15.75" customHeight="1" x14ac:dyDescent="0.25">
      <c r="A16" s="82" t="s">
        <v>460</v>
      </c>
      <c r="B16" s="1">
        <v>17</v>
      </c>
      <c r="C16" s="1">
        <v>0</v>
      </c>
      <c r="D16" s="70">
        <v>6.6</v>
      </c>
      <c r="E16" s="4">
        <f t="shared" si="0"/>
        <v>112.19999999999999</v>
      </c>
    </row>
    <row r="17" spans="1:5" ht="15.75" customHeight="1" x14ac:dyDescent="0.25">
      <c r="A17" s="82" t="s">
        <v>462</v>
      </c>
      <c r="B17" s="1">
        <v>15</v>
      </c>
      <c r="C17" s="1">
        <v>0</v>
      </c>
      <c r="D17" s="70">
        <v>7.43</v>
      </c>
      <c r="E17" s="4">
        <f t="shared" si="0"/>
        <v>111.44999999999999</v>
      </c>
    </row>
    <row r="18" spans="1:5" ht="15.75" customHeight="1" x14ac:dyDescent="0.25">
      <c r="A18" s="82" t="s">
        <v>463</v>
      </c>
      <c r="B18" s="1">
        <v>0</v>
      </c>
      <c r="C18" s="1">
        <v>0</v>
      </c>
      <c r="D18" s="70">
        <v>0.96</v>
      </c>
      <c r="E18" s="4">
        <f t="shared" si="0"/>
        <v>0</v>
      </c>
    </row>
    <row r="19" spans="1:5" ht="15.75" customHeight="1" x14ac:dyDescent="0.25">
      <c r="A19" s="82" t="s">
        <v>461</v>
      </c>
      <c r="B19" s="1">
        <v>0</v>
      </c>
      <c r="C19" s="1">
        <v>0</v>
      </c>
      <c r="D19" s="70">
        <v>5.0999999999999996</v>
      </c>
      <c r="E19" s="4">
        <f t="shared" si="0"/>
        <v>0</v>
      </c>
    </row>
    <row r="20" spans="1:5" ht="15.75" customHeight="1" x14ac:dyDescent="0.25">
      <c r="A20" s="82" t="s">
        <v>464</v>
      </c>
      <c r="B20" s="1">
        <v>0</v>
      </c>
      <c r="C20" s="1">
        <v>0</v>
      </c>
      <c r="D20" s="70">
        <v>2.61</v>
      </c>
      <c r="E20" s="4">
        <f t="shared" si="0"/>
        <v>0</v>
      </c>
    </row>
    <row r="21" spans="1:5" ht="15.75" customHeight="1" x14ac:dyDescent="0.25">
      <c r="A21" s="82" t="s">
        <v>466</v>
      </c>
      <c r="B21" s="1">
        <v>0</v>
      </c>
      <c r="C21" s="1">
        <v>0</v>
      </c>
      <c r="D21" s="70">
        <v>0</v>
      </c>
      <c r="E21" s="4">
        <f t="shared" si="0"/>
        <v>0</v>
      </c>
    </row>
    <row r="22" spans="1:5" ht="15.75" customHeight="1" x14ac:dyDescent="0.25">
      <c r="A22" s="82" t="s">
        <v>468</v>
      </c>
      <c r="B22" s="1">
        <v>0</v>
      </c>
      <c r="C22" s="1">
        <v>0</v>
      </c>
      <c r="D22" s="70">
        <v>0</v>
      </c>
      <c r="E22" s="4">
        <f t="shared" si="0"/>
        <v>0</v>
      </c>
    </row>
    <row r="23" spans="1:5" ht="15.75" customHeight="1" x14ac:dyDescent="0.25">
      <c r="A23" s="82" t="s">
        <v>465</v>
      </c>
      <c r="B23" s="1">
        <v>0</v>
      </c>
      <c r="C23" s="1">
        <v>0</v>
      </c>
      <c r="D23" s="70">
        <v>0.55000000000000004</v>
      </c>
      <c r="E23" s="4">
        <f t="shared" si="0"/>
        <v>0</v>
      </c>
    </row>
    <row r="24" spans="1:5" ht="15.75" customHeight="1" x14ac:dyDescent="0.25">
      <c r="A24" s="82" t="s">
        <v>467</v>
      </c>
      <c r="B24" s="1">
        <v>0</v>
      </c>
      <c r="C24" s="1">
        <v>0</v>
      </c>
      <c r="D24" s="70">
        <v>1.96</v>
      </c>
      <c r="E24" s="4">
        <f t="shared" si="0"/>
        <v>0</v>
      </c>
    </row>
    <row r="25" spans="1:5" ht="15.75" customHeight="1" x14ac:dyDescent="0.25">
      <c r="A25" s="82" t="s">
        <v>469</v>
      </c>
      <c r="B25" s="1">
        <v>0</v>
      </c>
      <c r="C25" s="1">
        <v>0</v>
      </c>
      <c r="D25" s="70">
        <v>3</v>
      </c>
      <c r="E25" s="4">
        <f t="shared" si="0"/>
        <v>0</v>
      </c>
    </row>
    <row r="26" spans="1:5" ht="15.75" customHeight="1" x14ac:dyDescent="0.25">
      <c r="A26" s="82" t="s">
        <v>470</v>
      </c>
      <c r="B26" s="1">
        <v>0</v>
      </c>
      <c r="C26" s="1">
        <v>0</v>
      </c>
      <c r="D26" s="70">
        <v>7.2</v>
      </c>
      <c r="E26" s="4">
        <f t="shared" si="0"/>
        <v>0</v>
      </c>
    </row>
    <row r="27" spans="1:5" ht="15.75" customHeight="1" x14ac:dyDescent="0.25">
      <c r="A27" s="82" t="s">
        <v>472</v>
      </c>
      <c r="B27" s="1">
        <v>0</v>
      </c>
      <c r="C27" s="1">
        <v>65</v>
      </c>
      <c r="D27" s="70">
        <v>0.4</v>
      </c>
      <c r="E27" s="4">
        <f t="shared" si="0"/>
        <v>26</v>
      </c>
    </row>
    <row r="28" spans="1:5" ht="15.75" customHeight="1" x14ac:dyDescent="0.25">
      <c r="A28" s="82" t="s">
        <v>912</v>
      </c>
      <c r="B28" s="1">
        <v>0</v>
      </c>
      <c r="C28" s="1">
        <v>40</v>
      </c>
      <c r="D28" s="70">
        <v>0.89</v>
      </c>
      <c r="E28" s="4">
        <f t="shared" si="0"/>
        <v>35.6</v>
      </c>
    </row>
    <row r="29" spans="1:5" ht="15.75" customHeight="1" x14ac:dyDescent="0.25">
      <c r="A29" s="82" t="s">
        <v>473</v>
      </c>
      <c r="B29" s="1">
        <v>0</v>
      </c>
      <c r="C29" s="1">
        <v>0</v>
      </c>
      <c r="D29" s="70">
        <v>0.74</v>
      </c>
      <c r="E29" s="4">
        <f t="shared" si="0"/>
        <v>0</v>
      </c>
    </row>
    <row r="30" spans="1:5" ht="15.75" customHeight="1" x14ac:dyDescent="0.25">
      <c r="A30" s="82" t="s">
        <v>479</v>
      </c>
      <c r="B30" s="1">
        <v>0</v>
      </c>
      <c r="C30" s="1">
        <v>0</v>
      </c>
      <c r="D30" s="70">
        <v>0.91</v>
      </c>
      <c r="E30" s="4">
        <f t="shared" si="0"/>
        <v>0</v>
      </c>
    </row>
    <row r="31" spans="1:5" ht="15.75" customHeight="1" x14ac:dyDescent="0.25">
      <c r="A31" s="82" t="s">
        <v>876</v>
      </c>
      <c r="B31" s="1">
        <v>3</v>
      </c>
      <c r="C31" s="1">
        <v>0</v>
      </c>
      <c r="D31" s="70">
        <v>1.65</v>
      </c>
      <c r="E31" s="4">
        <f t="shared" si="0"/>
        <v>4.9499999999999993</v>
      </c>
    </row>
    <row r="32" spans="1:5" ht="15.75" customHeight="1" x14ac:dyDescent="0.25">
      <c r="A32" s="82" t="s">
        <v>475</v>
      </c>
      <c r="B32" s="1">
        <v>0</v>
      </c>
      <c r="C32" s="1">
        <v>0</v>
      </c>
      <c r="D32" s="70">
        <v>0</v>
      </c>
      <c r="E32" s="4">
        <f t="shared" si="0"/>
        <v>0</v>
      </c>
    </row>
    <row r="33" spans="1:5" ht="15.75" customHeight="1" x14ac:dyDescent="0.25">
      <c r="A33" s="82" t="s">
        <v>909</v>
      </c>
      <c r="B33" s="1">
        <v>13</v>
      </c>
      <c r="C33" s="1">
        <v>0</v>
      </c>
      <c r="D33" s="70">
        <v>6.55</v>
      </c>
      <c r="E33" s="4">
        <f t="shared" si="0"/>
        <v>85.149999999999991</v>
      </c>
    </row>
    <row r="34" spans="1:5" ht="15.75" customHeight="1" x14ac:dyDescent="0.25">
      <c r="A34" s="82" t="s">
        <v>850</v>
      </c>
      <c r="B34" s="1">
        <v>0</v>
      </c>
      <c r="C34" s="1">
        <v>2</v>
      </c>
      <c r="D34" s="70">
        <v>1.37</v>
      </c>
      <c r="E34" s="4">
        <f t="shared" si="0"/>
        <v>2.74</v>
      </c>
    </row>
    <row r="35" spans="1:5" ht="15.75" customHeight="1" x14ac:dyDescent="0.25">
      <c r="A35" s="82" t="s">
        <v>471</v>
      </c>
      <c r="B35" s="1">
        <v>0</v>
      </c>
      <c r="C35" s="1">
        <v>19</v>
      </c>
      <c r="D35" s="70">
        <v>1.55</v>
      </c>
      <c r="E35" s="4">
        <f t="shared" si="0"/>
        <v>29.45</v>
      </c>
    </row>
    <row r="36" spans="1:5" ht="15.75" customHeight="1" x14ac:dyDescent="0.25">
      <c r="A36" s="82" t="s">
        <v>862</v>
      </c>
      <c r="B36" s="1">
        <v>0</v>
      </c>
      <c r="C36" s="1">
        <v>0</v>
      </c>
      <c r="D36" s="70">
        <v>0.78</v>
      </c>
      <c r="E36" s="4">
        <f t="shared" si="0"/>
        <v>0</v>
      </c>
    </row>
    <row r="37" spans="1:5" ht="15.75" customHeight="1" x14ac:dyDescent="0.25">
      <c r="A37" s="82" t="s">
        <v>474</v>
      </c>
      <c r="B37" s="1">
        <v>0</v>
      </c>
      <c r="C37" s="1">
        <v>0</v>
      </c>
      <c r="D37" s="70">
        <v>1.55</v>
      </c>
      <c r="E37" s="4">
        <f t="shared" si="0"/>
        <v>0</v>
      </c>
    </row>
    <row r="38" spans="1:5" ht="15.75" customHeight="1" x14ac:dyDescent="0.25">
      <c r="A38" s="82" t="s">
        <v>887</v>
      </c>
      <c r="B38" s="1">
        <v>0</v>
      </c>
      <c r="C38" s="1">
        <v>0</v>
      </c>
      <c r="D38" s="70">
        <v>2.79</v>
      </c>
      <c r="E38" s="4">
        <f t="shared" si="0"/>
        <v>0</v>
      </c>
    </row>
    <row r="39" spans="1:5" ht="15.75" customHeight="1" x14ac:dyDescent="0.25">
      <c r="A39" s="91" t="s">
        <v>888</v>
      </c>
      <c r="B39" s="1">
        <v>0</v>
      </c>
      <c r="C39" s="1">
        <v>11</v>
      </c>
      <c r="D39" s="70">
        <v>1.89</v>
      </c>
      <c r="E39" s="4">
        <f t="shared" si="0"/>
        <v>20.79</v>
      </c>
    </row>
    <row r="40" spans="1:5" ht="15.75" customHeight="1" x14ac:dyDescent="0.25">
      <c r="A40" s="68" t="s">
        <v>477</v>
      </c>
      <c r="B40" s="1">
        <v>0</v>
      </c>
      <c r="C40" s="1">
        <v>0</v>
      </c>
      <c r="D40" s="70">
        <v>2.74</v>
      </c>
      <c r="E40" s="4">
        <f t="shared" si="0"/>
        <v>0</v>
      </c>
    </row>
    <row r="41" spans="1:5" ht="15.75" customHeight="1" x14ac:dyDescent="0.25">
      <c r="A41" s="68" t="s">
        <v>476</v>
      </c>
      <c r="B41" s="1">
        <v>0</v>
      </c>
      <c r="C41" s="1">
        <v>1</v>
      </c>
      <c r="D41" s="70">
        <v>3.19</v>
      </c>
      <c r="E41" s="4">
        <f t="shared" si="0"/>
        <v>3.19</v>
      </c>
    </row>
    <row r="42" spans="1:5" ht="15.75" customHeight="1" x14ac:dyDescent="0.25">
      <c r="A42" s="68" t="s">
        <v>478</v>
      </c>
      <c r="B42" s="1">
        <v>0</v>
      </c>
      <c r="C42" s="1">
        <v>4</v>
      </c>
      <c r="D42" s="70">
        <v>1.32</v>
      </c>
      <c r="E42" s="4">
        <f t="shared" si="0"/>
        <v>5.28</v>
      </c>
    </row>
    <row r="43" spans="1:5" ht="15.75" customHeight="1" x14ac:dyDescent="0.25">
      <c r="A43" s="68" t="s">
        <v>878</v>
      </c>
      <c r="B43" s="1">
        <v>0</v>
      </c>
      <c r="C43" s="1">
        <v>0</v>
      </c>
      <c r="D43" s="70">
        <v>26.1</v>
      </c>
      <c r="E43" s="4">
        <f t="shared" si="0"/>
        <v>0</v>
      </c>
    </row>
    <row r="44" spans="1:5" ht="15.75" customHeight="1" x14ac:dyDescent="0.25">
      <c r="A44" s="68" t="s">
        <v>879</v>
      </c>
      <c r="B44" s="1">
        <v>0</v>
      </c>
      <c r="C44" s="1">
        <v>0</v>
      </c>
      <c r="D44" s="70">
        <v>25.32</v>
      </c>
      <c r="E44" s="4">
        <f t="shared" si="0"/>
        <v>0</v>
      </c>
    </row>
    <row r="45" spans="1:5" ht="15.75" customHeight="1" x14ac:dyDescent="0.25">
      <c r="A45" s="68" t="s">
        <v>880</v>
      </c>
      <c r="B45" s="1">
        <v>0</v>
      </c>
      <c r="C45" s="1">
        <v>0</v>
      </c>
      <c r="D45" s="70">
        <v>0</v>
      </c>
      <c r="E45" s="4">
        <f t="shared" si="0"/>
        <v>0</v>
      </c>
    </row>
    <row r="46" spans="1:5" ht="15.75" customHeight="1" x14ac:dyDescent="0.25">
      <c r="A46" s="68" t="s">
        <v>881</v>
      </c>
      <c r="B46" s="1">
        <v>0</v>
      </c>
      <c r="C46" s="1">
        <v>0</v>
      </c>
      <c r="D46" s="70">
        <v>0</v>
      </c>
      <c r="E46" s="4">
        <f t="shared" si="0"/>
        <v>0</v>
      </c>
    </row>
    <row r="47" spans="1:5" ht="15.75" customHeight="1" x14ac:dyDescent="0.25">
      <c r="A47" s="68" t="s">
        <v>877</v>
      </c>
      <c r="B47" s="1">
        <v>0</v>
      </c>
      <c r="C47" s="1">
        <v>0</v>
      </c>
      <c r="D47" s="101">
        <v>28.9</v>
      </c>
      <c r="E47" s="4">
        <f t="shared" si="0"/>
        <v>0</v>
      </c>
    </row>
    <row r="48" spans="1:5" ht="15.75" customHeight="1" x14ac:dyDescent="0.25">
      <c r="A48" s="68" t="s">
        <v>875</v>
      </c>
      <c r="B48" s="1">
        <v>0</v>
      </c>
      <c r="C48" s="1">
        <v>0</v>
      </c>
      <c r="D48" s="70">
        <v>3.6</v>
      </c>
      <c r="E48" s="4">
        <f t="shared" si="0"/>
        <v>0</v>
      </c>
    </row>
    <row r="49" spans="1:5" ht="15.75" customHeight="1" x14ac:dyDescent="0.25">
      <c r="A49" s="102" t="s">
        <v>480</v>
      </c>
      <c r="B49" s="52"/>
      <c r="C49" s="52"/>
      <c r="D49" s="103"/>
      <c r="E49" s="54">
        <f>SUM(E3:E48)</f>
        <v>1058.5600000000002</v>
      </c>
    </row>
  </sheetData>
  <sortState xmlns:xlrd2="http://schemas.microsoft.com/office/spreadsheetml/2017/richdata2" ref="A3:E48">
    <sortCondition ref="A2:A48"/>
  </sortState>
  <mergeCells count="2">
    <mergeCell ref="A1:E1"/>
    <mergeCell ref="A49:D49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8"/>
  <sheetViews>
    <sheetView topLeftCell="A84" workbookViewId="0">
      <selection activeCell="E118" sqref="E118"/>
    </sheetView>
  </sheetViews>
  <sheetFormatPr defaultColWidth="14.42578125" defaultRowHeight="15.75" customHeight="1" x14ac:dyDescent="0.25"/>
  <cols>
    <col min="1" max="1" width="39.42578125" style="53" bestFit="1" customWidth="1"/>
    <col min="2" max="2" width="8.7109375" style="53" customWidth="1"/>
    <col min="3" max="3" width="12.28515625" style="53" customWidth="1"/>
    <col min="4" max="4" width="11.5703125" style="53" customWidth="1"/>
    <col min="5" max="5" width="14.7109375" style="53" customWidth="1"/>
    <col min="6" max="6" width="8.7109375" style="53" customWidth="1"/>
    <col min="7" max="16384" width="14.42578125" style="53"/>
  </cols>
  <sheetData>
    <row r="1" spans="1:5" ht="15.75" customHeight="1" x14ac:dyDescent="0.25">
      <c r="A1" s="65" t="s">
        <v>481</v>
      </c>
      <c r="B1" s="62"/>
      <c r="C1" s="62"/>
      <c r="D1" s="62"/>
      <c r="E1" s="63"/>
    </row>
    <row r="2" spans="1:5" ht="15.75" customHeight="1" x14ac:dyDescent="0.25">
      <c r="A2" s="81" t="s">
        <v>482</v>
      </c>
      <c r="B2" s="81" t="s">
        <v>483</v>
      </c>
      <c r="C2" s="81" t="s">
        <v>484</v>
      </c>
      <c r="D2" s="81" t="s">
        <v>3</v>
      </c>
      <c r="E2" s="81" t="s">
        <v>4</v>
      </c>
    </row>
    <row r="3" spans="1:5" ht="15.75" customHeight="1" x14ac:dyDescent="0.25">
      <c r="A3" s="82" t="s">
        <v>486</v>
      </c>
      <c r="B3" s="1">
        <v>0</v>
      </c>
      <c r="C3" s="1">
        <v>0</v>
      </c>
      <c r="D3" s="58">
        <v>5.85</v>
      </c>
      <c r="E3" s="68">
        <f>SUM(B3+C3)*D3</f>
        <v>0</v>
      </c>
    </row>
    <row r="4" spans="1:5" ht="15.75" customHeight="1" x14ac:dyDescent="0.25">
      <c r="A4" s="82" t="s">
        <v>485</v>
      </c>
      <c r="B4" s="1">
        <v>26</v>
      </c>
      <c r="C4" s="1">
        <v>0</v>
      </c>
      <c r="D4" s="58">
        <v>3.44</v>
      </c>
      <c r="E4" s="68">
        <f t="shared" ref="E4:E54" si="0">SUM(B4+C4)*D4</f>
        <v>89.44</v>
      </c>
    </row>
    <row r="5" spans="1:5" ht="15.75" customHeight="1" x14ac:dyDescent="0.25">
      <c r="A5" s="82" t="s">
        <v>908</v>
      </c>
      <c r="B5" s="1">
        <v>0</v>
      </c>
      <c r="C5" s="1">
        <v>0</v>
      </c>
      <c r="D5" s="70">
        <v>10.23</v>
      </c>
      <c r="E5" s="68">
        <f t="shared" si="0"/>
        <v>0</v>
      </c>
    </row>
    <row r="6" spans="1:5" ht="15.75" customHeight="1" x14ac:dyDescent="0.25">
      <c r="A6" s="82" t="s">
        <v>554</v>
      </c>
      <c r="B6" s="1">
        <v>16</v>
      </c>
      <c r="C6" s="1">
        <v>0</v>
      </c>
      <c r="D6" s="70">
        <v>4.2</v>
      </c>
      <c r="E6" s="68">
        <f t="shared" si="0"/>
        <v>67.2</v>
      </c>
    </row>
    <row r="7" spans="1:5" ht="15.75" customHeight="1" x14ac:dyDescent="0.25">
      <c r="A7" s="82" t="s">
        <v>907</v>
      </c>
      <c r="B7" s="1">
        <v>0</v>
      </c>
      <c r="C7" s="1">
        <v>0</v>
      </c>
      <c r="D7" s="82">
        <v>15</v>
      </c>
      <c r="E7" s="68">
        <f t="shared" si="0"/>
        <v>0</v>
      </c>
    </row>
    <row r="8" spans="1:5" ht="15.75" customHeight="1" x14ac:dyDescent="0.25">
      <c r="A8" s="82" t="s">
        <v>487</v>
      </c>
      <c r="B8" s="1">
        <v>0</v>
      </c>
      <c r="C8" s="1">
        <v>0</v>
      </c>
      <c r="D8" s="70">
        <v>23.24</v>
      </c>
      <c r="E8" s="68">
        <f t="shared" si="0"/>
        <v>0</v>
      </c>
    </row>
    <row r="9" spans="1:5" ht="15.75" customHeight="1" x14ac:dyDescent="0.25">
      <c r="A9" s="82" t="s">
        <v>953</v>
      </c>
      <c r="B9" s="1">
        <v>0</v>
      </c>
      <c r="C9" s="1">
        <v>0</v>
      </c>
      <c r="D9" s="70">
        <v>7.39</v>
      </c>
      <c r="E9" s="68">
        <f t="shared" si="0"/>
        <v>0</v>
      </c>
    </row>
    <row r="10" spans="1:5" ht="15.75" customHeight="1" x14ac:dyDescent="0.25">
      <c r="A10" s="82" t="s">
        <v>851</v>
      </c>
      <c r="B10" s="1">
        <v>0</v>
      </c>
      <c r="C10" s="1">
        <v>0</v>
      </c>
      <c r="D10" s="70">
        <v>7.6</v>
      </c>
      <c r="E10" s="68">
        <f t="shared" si="0"/>
        <v>0</v>
      </c>
    </row>
    <row r="11" spans="1:5" ht="15.75" customHeight="1" x14ac:dyDescent="0.25">
      <c r="A11" s="82" t="s">
        <v>492</v>
      </c>
      <c r="B11" s="1">
        <v>0</v>
      </c>
      <c r="C11" s="1">
        <v>0</v>
      </c>
      <c r="D11" s="70">
        <v>53.76</v>
      </c>
      <c r="E11" s="68">
        <f t="shared" si="0"/>
        <v>0</v>
      </c>
    </row>
    <row r="12" spans="1:5" ht="15.75" customHeight="1" x14ac:dyDescent="0.25">
      <c r="A12" s="82" t="s">
        <v>494</v>
      </c>
      <c r="B12" s="1">
        <v>15</v>
      </c>
      <c r="C12" s="1">
        <v>0</v>
      </c>
      <c r="D12" s="70">
        <v>7.97</v>
      </c>
      <c r="E12" s="68">
        <f t="shared" si="0"/>
        <v>119.55</v>
      </c>
    </row>
    <row r="13" spans="1:5" ht="15.75" customHeight="1" x14ac:dyDescent="0.25">
      <c r="A13" s="82" t="s">
        <v>493</v>
      </c>
      <c r="B13" s="1">
        <v>23</v>
      </c>
      <c r="C13" s="1">
        <v>0</v>
      </c>
      <c r="D13" s="70">
        <v>1.4</v>
      </c>
      <c r="E13" s="68">
        <f t="shared" si="0"/>
        <v>32.199999999999996</v>
      </c>
    </row>
    <row r="14" spans="1:5" ht="15.75" customHeight="1" x14ac:dyDescent="0.25">
      <c r="A14" s="70" t="s">
        <v>43</v>
      </c>
      <c r="B14" s="1">
        <v>0</v>
      </c>
      <c r="C14" s="1">
        <v>0</v>
      </c>
      <c r="D14" s="70">
        <v>0</v>
      </c>
      <c r="E14" s="68">
        <f t="shared" si="0"/>
        <v>0</v>
      </c>
    </row>
    <row r="15" spans="1:5" ht="15.75" customHeight="1" x14ac:dyDescent="0.25">
      <c r="A15" s="82" t="s">
        <v>488</v>
      </c>
      <c r="B15" s="1">
        <v>0</v>
      </c>
      <c r="C15" s="1">
        <v>0</v>
      </c>
      <c r="D15" s="70">
        <v>3</v>
      </c>
      <c r="E15" s="68">
        <f t="shared" si="0"/>
        <v>0</v>
      </c>
    </row>
    <row r="16" spans="1:5" ht="15.75" customHeight="1" x14ac:dyDescent="0.25">
      <c r="A16" s="82" t="s">
        <v>848</v>
      </c>
      <c r="B16" s="1">
        <v>7</v>
      </c>
      <c r="C16" s="1">
        <v>0</v>
      </c>
      <c r="D16" s="70">
        <v>12.09</v>
      </c>
      <c r="E16" s="68">
        <f t="shared" si="0"/>
        <v>84.63</v>
      </c>
    </row>
    <row r="17" spans="1:5" ht="15.75" customHeight="1" x14ac:dyDescent="0.25">
      <c r="A17" s="82" t="s">
        <v>490</v>
      </c>
      <c r="B17" s="1">
        <v>0</v>
      </c>
      <c r="C17" s="1">
        <v>0</v>
      </c>
      <c r="D17" s="70">
        <v>0</v>
      </c>
      <c r="E17" s="68">
        <f t="shared" si="0"/>
        <v>0</v>
      </c>
    </row>
    <row r="18" spans="1:5" ht="15.75" customHeight="1" x14ac:dyDescent="0.25">
      <c r="A18" s="82" t="s">
        <v>491</v>
      </c>
      <c r="B18" s="1">
        <v>0</v>
      </c>
      <c r="C18" s="1">
        <v>0</v>
      </c>
      <c r="D18" s="70">
        <v>6.5</v>
      </c>
      <c r="E18" s="68">
        <f t="shared" si="0"/>
        <v>0</v>
      </c>
    </row>
    <row r="19" spans="1:5" ht="15.75" customHeight="1" x14ac:dyDescent="0.25">
      <c r="A19" s="82" t="s">
        <v>495</v>
      </c>
      <c r="B19" s="1">
        <v>1</v>
      </c>
      <c r="C19" s="1">
        <v>0</v>
      </c>
      <c r="D19" s="70">
        <v>12.84</v>
      </c>
      <c r="E19" s="68">
        <f t="shared" si="0"/>
        <v>12.84</v>
      </c>
    </row>
    <row r="20" spans="1:5" ht="15.75" customHeight="1" x14ac:dyDescent="0.25">
      <c r="A20" s="83" t="s">
        <v>914</v>
      </c>
      <c r="B20" s="1">
        <v>0</v>
      </c>
      <c r="C20" s="1">
        <v>0</v>
      </c>
      <c r="D20" s="70">
        <v>18.899999999999999</v>
      </c>
      <c r="E20" s="68">
        <f t="shared" si="0"/>
        <v>0</v>
      </c>
    </row>
    <row r="21" spans="1:5" ht="15.75" customHeight="1" x14ac:dyDescent="0.25">
      <c r="A21" s="82" t="s">
        <v>501</v>
      </c>
      <c r="B21" s="1">
        <v>0</v>
      </c>
      <c r="C21" s="1">
        <v>0</v>
      </c>
      <c r="D21" s="70">
        <v>11.04</v>
      </c>
      <c r="E21" s="68">
        <f t="shared" si="0"/>
        <v>0</v>
      </c>
    </row>
    <row r="22" spans="1:5" ht="15.75" customHeight="1" x14ac:dyDescent="0.25">
      <c r="A22" s="82" t="s">
        <v>499</v>
      </c>
      <c r="B22" s="1">
        <v>0</v>
      </c>
      <c r="C22" s="1">
        <v>0</v>
      </c>
      <c r="D22" s="70">
        <v>4.3</v>
      </c>
      <c r="E22" s="68">
        <f t="shared" si="0"/>
        <v>0</v>
      </c>
    </row>
    <row r="23" spans="1:5" ht="15.75" customHeight="1" x14ac:dyDescent="0.25">
      <c r="A23" s="82" t="s">
        <v>498</v>
      </c>
      <c r="B23" s="1">
        <v>0</v>
      </c>
      <c r="C23" s="1">
        <v>0</v>
      </c>
      <c r="D23" s="70">
        <v>9.6999999999999993</v>
      </c>
      <c r="E23" s="68">
        <f t="shared" si="0"/>
        <v>0</v>
      </c>
    </row>
    <row r="24" spans="1:5" ht="15.75" customHeight="1" x14ac:dyDescent="0.25">
      <c r="A24" s="82" t="s">
        <v>496</v>
      </c>
      <c r="B24" s="1">
        <v>0</v>
      </c>
      <c r="C24" s="1">
        <v>0</v>
      </c>
      <c r="D24" s="70">
        <v>4.04</v>
      </c>
      <c r="E24" s="68">
        <f t="shared" si="0"/>
        <v>0</v>
      </c>
    </row>
    <row r="25" spans="1:5" ht="15.75" customHeight="1" x14ac:dyDescent="0.25">
      <c r="A25" s="82" t="s">
        <v>497</v>
      </c>
      <c r="B25" s="1">
        <v>0</v>
      </c>
      <c r="C25" s="1">
        <v>0</v>
      </c>
      <c r="D25" s="70">
        <v>18.71</v>
      </c>
      <c r="E25" s="68">
        <f t="shared" si="0"/>
        <v>0</v>
      </c>
    </row>
    <row r="26" spans="1:5" ht="15.75" customHeight="1" x14ac:dyDescent="0.25">
      <c r="A26" s="82" t="s">
        <v>500</v>
      </c>
      <c r="B26" s="1">
        <v>9</v>
      </c>
      <c r="C26" s="1">
        <v>0</v>
      </c>
      <c r="D26" s="70">
        <v>7.4</v>
      </c>
      <c r="E26" s="68">
        <f t="shared" si="0"/>
        <v>66.600000000000009</v>
      </c>
    </row>
    <row r="27" spans="1:5" ht="15.75" customHeight="1" x14ac:dyDescent="0.25">
      <c r="A27" s="82" t="s">
        <v>503</v>
      </c>
      <c r="B27" s="1">
        <v>11</v>
      </c>
      <c r="C27" s="1">
        <v>0</v>
      </c>
      <c r="D27" s="70">
        <v>7.75</v>
      </c>
      <c r="E27" s="68">
        <f t="shared" si="0"/>
        <v>85.25</v>
      </c>
    </row>
    <row r="28" spans="1:5" ht="15.75" customHeight="1" x14ac:dyDescent="0.25">
      <c r="A28" s="82" t="s">
        <v>502</v>
      </c>
      <c r="B28" s="1">
        <v>0</v>
      </c>
      <c r="C28" s="1">
        <v>0</v>
      </c>
      <c r="D28" s="70">
        <v>2.4900000000000002</v>
      </c>
      <c r="E28" s="68">
        <f t="shared" si="0"/>
        <v>0</v>
      </c>
    </row>
    <row r="29" spans="1:5" ht="15.75" customHeight="1" x14ac:dyDescent="0.25">
      <c r="A29" s="82" t="s">
        <v>504</v>
      </c>
      <c r="B29" s="1">
        <v>0</v>
      </c>
      <c r="C29" s="1">
        <v>0</v>
      </c>
      <c r="D29" s="70">
        <v>0</v>
      </c>
      <c r="E29" s="68">
        <f t="shared" si="0"/>
        <v>0</v>
      </c>
    </row>
    <row r="30" spans="1:5" ht="15.75" customHeight="1" x14ac:dyDescent="0.25">
      <c r="A30" s="82" t="s">
        <v>506</v>
      </c>
      <c r="B30" s="1">
        <v>26</v>
      </c>
      <c r="C30" s="1">
        <v>0</v>
      </c>
      <c r="D30" s="70">
        <v>2.98</v>
      </c>
      <c r="E30" s="68">
        <f t="shared" si="0"/>
        <v>77.48</v>
      </c>
    </row>
    <row r="31" spans="1:5" ht="15.75" customHeight="1" x14ac:dyDescent="0.25">
      <c r="A31" s="82" t="s">
        <v>911</v>
      </c>
      <c r="B31" s="1">
        <v>7</v>
      </c>
      <c r="C31" s="1">
        <v>0</v>
      </c>
      <c r="D31" s="70">
        <v>6.43</v>
      </c>
      <c r="E31" s="68">
        <f t="shared" si="0"/>
        <v>45.01</v>
      </c>
    </row>
    <row r="32" spans="1:5" ht="15.75" customHeight="1" x14ac:dyDescent="0.25">
      <c r="A32" s="82" t="s">
        <v>507</v>
      </c>
      <c r="B32" s="1">
        <v>16</v>
      </c>
      <c r="C32" s="1">
        <v>0</v>
      </c>
      <c r="D32" s="70">
        <v>10.3</v>
      </c>
      <c r="E32" s="68">
        <f t="shared" si="0"/>
        <v>164.8</v>
      </c>
    </row>
    <row r="33" spans="1:5" ht="15.75" customHeight="1" x14ac:dyDescent="0.25">
      <c r="A33" s="82" t="s">
        <v>889</v>
      </c>
      <c r="B33" s="1">
        <v>51</v>
      </c>
      <c r="C33" s="1">
        <v>0</v>
      </c>
      <c r="D33" s="70">
        <v>1.66</v>
      </c>
      <c r="E33" s="68">
        <f t="shared" si="0"/>
        <v>84.66</v>
      </c>
    </row>
    <row r="34" spans="1:5" ht="15.75" customHeight="1" x14ac:dyDescent="0.25">
      <c r="A34" s="82" t="s">
        <v>910</v>
      </c>
      <c r="B34" s="1">
        <v>8</v>
      </c>
      <c r="C34" s="1">
        <v>0</v>
      </c>
      <c r="D34" s="70">
        <v>2.2000000000000002</v>
      </c>
      <c r="E34" s="68">
        <f t="shared" si="0"/>
        <v>17.600000000000001</v>
      </c>
    </row>
    <row r="35" spans="1:5" ht="15.75" customHeight="1" x14ac:dyDescent="0.25">
      <c r="A35" s="82" t="s">
        <v>508</v>
      </c>
      <c r="B35" s="1">
        <v>10</v>
      </c>
      <c r="C35" s="1">
        <v>0</v>
      </c>
      <c r="D35" s="70">
        <v>16.22</v>
      </c>
      <c r="E35" s="68">
        <f>SUM(B35+C35)*D35</f>
        <v>162.19999999999999</v>
      </c>
    </row>
    <row r="36" spans="1:5" ht="15.75" customHeight="1" x14ac:dyDescent="0.25">
      <c r="A36" s="82" t="s">
        <v>505</v>
      </c>
      <c r="B36" s="1">
        <v>0</v>
      </c>
      <c r="C36" s="1">
        <v>0</v>
      </c>
      <c r="D36" s="70">
        <v>2.67</v>
      </c>
      <c r="E36" s="68">
        <f t="shared" si="0"/>
        <v>0</v>
      </c>
    </row>
    <row r="37" spans="1:5" ht="15.75" customHeight="1" x14ac:dyDescent="0.25">
      <c r="A37" s="82" t="s">
        <v>513</v>
      </c>
      <c r="B37" s="1">
        <v>0</v>
      </c>
      <c r="C37" s="1">
        <v>0</v>
      </c>
      <c r="D37" s="70">
        <v>48</v>
      </c>
      <c r="E37" s="68">
        <f t="shared" si="0"/>
        <v>0</v>
      </c>
    </row>
    <row r="38" spans="1:5" ht="15.75" customHeight="1" x14ac:dyDescent="0.25">
      <c r="A38" s="82" t="s">
        <v>509</v>
      </c>
      <c r="B38" s="1">
        <v>0</v>
      </c>
      <c r="C38" s="1">
        <v>0</v>
      </c>
      <c r="D38" s="70">
        <v>11</v>
      </c>
      <c r="E38" s="68">
        <f t="shared" si="0"/>
        <v>0</v>
      </c>
    </row>
    <row r="39" spans="1:5" ht="15.75" customHeight="1" x14ac:dyDescent="0.25">
      <c r="A39" s="82" t="s">
        <v>510</v>
      </c>
      <c r="B39" s="1">
        <v>0</v>
      </c>
      <c r="C39" s="1">
        <v>0</v>
      </c>
      <c r="D39" s="70">
        <v>2.98</v>
      </c>
      <c r="E39" s="68">
        <f t="shared" si="0"/>
        <v>0</v>
      </c>
    </row>
    <row r="40" spans="1:5" ht="15.75" customHeight="1" x14ac:dyDescent="0.25">
      <c r="A40" s="82" t="s">
        <v>874</v>
      </c>
      <c r="B40" s="1">
        <v>0</v>
      </c>
      <c r="C40" s="1">
        <v>0</v>
      </c>
      <c r="D40" s="70">
        <v>48.5</v>
      </c>
      <c r="E40" s="68">
        <f t="shared" si="0"/>
        <v>0</v>
      </c>
    </row>
    <row r="41" spans="1:5" ht="15.75" customHeight="1" x14ac:dyDescent="0.25">
      <c r="A41" s="82" t="s">
        <v>519</v>
      </c>
      <c r="B41" s="1">
        <v>0</v>
      </c>
      <c r="C41" s="1">
        <v>0</v>
      </c>
      <c r="D41" s="70">
        <v>3.85</v>
      </c>
      <c r="E41" s="68">
        <f t="shared" si="0"/>
        <v>0</v>
      </c>
    </row>
    <row r="42" spans="1:5" ht="15.75" customHeight="1" x14ac:dyDescent="0.25">
      <c r="A42" s="82" t="s">
        <v>516</v>
      </c>
      <c r="B42" s="1">
        <v>0</v>
      </c>
      <c r="C42" s="1">
        <v>0</v>
      </c>
      <c r="D42" s="70">
        <v>3.45</v>
      </c>
      <c r="E42" s="68">
        <f t="shared" si="0"/>
        <v>0</v>
      </c>
    </row>
    <row r="43" spans="1:5" ht="15.75" customHeight="1" x14ac:dyDescent="0.25">
      <c r="A43" s="82" t="s">
        <v>515</v>
      </c>
      <c r="B43" s="1">
        <v>0</v>
      </c>
      <c r="C43" s="1">
        <v>0</v>
      </c>
      <c r="D43" s="70">
        <v>0</v>
      </c>
      <c r="E43" s="68">
        <f t="shared" si="0"/>
        <v>0</v>
      </c>
    </row>
    <row r="44" spans="1:5" ht="15.75" customHeight="1" x14ac:dyDescent="0.25">
      <c r="A44" s="82" t="s">
        <v>521</v>
      </c>
      <c r="B44" s="1">
        <v>14</v>
      </c>
      <c r="C44" s="1">
        <v>0</v>
      </c>
      <c r="D44" s="70">
        <v>4.76</v>
      </c>
      <c r="E44" s="68">
        <f t="shared" si="0"/>
        <v>66.64</v>
      </c>
    </row>
    <row r="45" spans="1:5" ht="15.75" customHeight="1" x14ac:dyDescent="0.25">
      <c r="A45" s="82" t="s">
        <v>520</v>
      </c>
      <c r="B45" s="1">
        <v>0</v>
      </c>
      <c r="C45" s="1">
        <v>0</v>
      </c>
      <c r="D45" s="70">
        <v>0</v>
      </c>
      <c r="E45" s="68">
        <f t="shared" si="0"/>
        <v>0</v>
      </c>
    </row>
    <row r="46" spans="1:5" ht="15.75" customHeight="1" x14ac:dyDescent="0.25">
      <c r="A46" s="82" t="s">
        <v>511</v>
      </c>
      <c r="B46" s="1">
        <v>0</v>
      </c>
      <c r="C46" s="1">
        <v>0</v>
      </c>
      <c r="D46" s="70">
        <v>0</v>
      </c>
      <c r="E46" s="68">
        <f t="shared" si="0"/>
        <v>0</v>
      </c>
    </row>
    <row r="47" spans="1:5" ht="15.75" customHeight="1" x14ac:dyDescent="0.25">
      <c r="A47" s="82" t="s">
        <v>512</v>
      </c>
      <c r="B47" s="1">
        <v>0</v>
      </c>
      <c r="C47" s="1">
        <v>0.87</v>
      </c>
      <c r="D47" s="70">
        <v>9.69</v>
      </c>
      <c r="E47" s="68">
        <f>SUM(B47+C47)*D47</f>
        <v>8.430299999999999</v>
      </c>
    </row>
    <row r="48" spans="1:5" ht="15.75" customHeight="1" x14ac:dyDescent="0.25">
      <c r="A48" s="82" t="s">
        <v>514</v>
      </c>
      <c r="B48" s="1">
        <v>0</v>
      </c>
      <c r="C48" s="1">
        <v>0</v>
      </c>
      <c r="D48" s="70">
        <v>0</v>
      </c>
      <c r="E48" s="68">
        <f t="shared" si="0"/>
        <v>0</v>
      </c>
    </row>
    <row r="49" spans="1:5" ht="15.75" customHeight="1" x14ac:dyDescent="0.25">
      <c r="A49" s="82" t="s">
        <v>489</v>
      </c>
      <c r="B49" s="1">
        <v>0</v>
      </c>
      <c r="C49" s="1">
        <v>0</v>
      </c>
      <c r="D49" s="70">
        <v>0</v>
      </c>
      <c r="E49" s="68">
        <f t="shared" si="0"/>
        <v>0</v>
      </c>
    </row>
    <row r="50" spans="1:5" ht="15.75" customHeight="1" x14ac:dyDescent="0.25">
      <c r="A50" s="82" t="s">
        <v>425</v>
      </c>
      <c r="B50" s="1">
        <v>0</v>
      </c>
      <c r="C50" s="1">
        <v>0</v>
      </c>
      <c r="D50" s="70">
        <v>0</v>
      </c>
      <c r="E50" s="68">
        <f t="shared" si="0"/>
        <v>0</v>
      </c>
    </row>
    <row r="51" spans="1:5" ht="15.75" customHeight="1" x14ac:dyDescent="0.25">
      <c r="A51" s="82" t="s">
        <v>522</v>
      </c>
      <c r="B51" s="1">
        <v>0</v>
      </c>
      <c r="C51" s="1">
        <v>0</v>
      </c>
      <c r="D51" s="70">
        <v>48</v>
      </c>
      <c r="E51" s="68">
        <f t="shared" si="0"/>
        <v>0</v>
      </c>
    </row>
    <row r="52" spans="1:5" ht="15.75" customHeight="1" x14ac:dyDescent="0.25">
      <c r="A52" s="82" t="s">
        <v>523</v>
      </c>
      <c r="B52" s="1">
        <v>0</v>
      </c>
      <c r="C52" s="1">
        <v>0</v>
      </c>
      <c r="D52" s="82">
        <v>48</v>
      </c>
      <c r="E52" s="68">
        <f t="shared" si="0"/>
        <v>0</v>
      </c>
    </row>
    <row r="53" spans="1:5" ht="15.75" customHeight="1" x14ac:dyDescent="0.25">
      <c r="A53" s="84" t="s">
        <v>517</v>
      </c>
      <c r="B53" s="1">
        <v>0</v>
      </c>
      <c r="C53" s="1">
        <v>0</v>
      </c>
      <c r="D53" s="70">
        <v>9.89</v>
      </c>
      <c r="E53" s="68">
        <f t="shared" si="0"/>
        <v>0</v>
      </c>
    </row>
    <row r="54" spans="1:5" ht="15.75" customHeight="1" x14ac:dyDescent="0.25">
      <c r="A54" s="68" t="s">
        <v>518</v>
      </c>
      <c r="B54" s="1">
        <v>0</v>
      </c>
      <c r="C54" s="1">
        <v>0</v>
      </c>
      <c r="D54" s="70">
        <v>4.91</v>
      </c>
      <c r="E54" s="68">
        <f t="shared" si="0"/>
        <v>0</v>
      </c>
    </row>
    <row r="55" spans="1:5" ht="15.75" customHeight="1" x14ac:dyDescent="0.25">
      <c r="A55" s="85" t="s">
        <v>480</v>
      </c>
      <c r="B55" s="82"/>
      <c r="C55" s="82"/>
      <c r="D55" s="83"/>
      <c r="E55" s="86">
        <f>SUM(E3:E54)</f>
        <v>1184.5303000000001</v>
      </c>
    </row>
    <row r="56" spans="1:5" ht="15.75" customHeight="1" x14ac:dyDescent="0.25">
      <c r="A56" s="87" t="s">
        <v>524</v>
      </c>
      <c r="B56" s="87"/>
      <c r="C56" s="88"/>
      <c r="D56" s="89" t="s">
        <v>3</v>
      </c>
      <c r="E56" s="90" t="s">
        <v>4</v>
      </c>
    </row>
    <row r="57" spans="1:5" ht="15.75" customHeight="1" x14ac:dyDescent="0.25">
      <c r="A57" s="68" t="s">
        <v>525</v>
      </c>
      <c r="B57" s="1">
        <v>0</v>
      </c>
      <c r="C57" s="1">
        <v>0</v>
      </c>
      <c r="D57" s="83">
        <v>30.48</v>
      </c>
      <c r="E57" s="68">
        <f t="shared" ref="E57:E64" si="1">SUM(B57+C57)*D57</f>
        <v>0</v>
      </c>
    </row>
    <row r="58" spans="1:5" ht="15.75" customHeight="1" x14ac:dyDescent="0.25">
      <c r="A58" s="68" t="s">
        <v>526</v>
      </c>
      <c r="B58" s="1">
        <v>0</v>
      </c>
      <c r="C58" s="1">
        <v>0</v>
      </c>
      <c r="D58" s="83">
        <v>34.979999999999997</v>
      </c>
      <c r="E58" s="68">
        <f t="shared" si="1"/>
        <v>0</v>
      </c>
    </row>
    <row r="59" spans="1:5" ht="15.75" customHeight="1" x14ac:dyDescent="0.25">
      <c r="A59" s="91" t="s">
        <v>527</v>
      </c>
      <c r="B59" s="1">
        <v>0</v>
      </c>
      <c r="C59" s="1">
        <v>0</v>
      </c>
      <c r="D59" s="83">
        <v>21.75</v>
      </c>
      <c r="E59" s="68">
        <f t="shared" si="1"/>
        <v>0</v>
      </c>
    </row>
    <row r="60" spans="1:5" ht="15.75" customHeight="1" x14ac:dyDescent="0.25">
      <c r="A60" s="68" t="s">
        <v>528</v>
      </c>
      <c r="B60" s="1">
        <v>0</v>
      </c>
      <c r="C60" s="1">
        <v>0</v>
      </c>
      <c r="D60" s="83">
        <v>0</v>
      </c>
      <c r="E60" s="68">
        <f t="shared" si="1"/>
        <v>0</v>
      </c>
    </row>
    <row r="61" spans="1:5" ht="15.75" customHeight="1" x14ac:dyDescent="0.25">
      <c r="A61" s="82" t="s">
        <v>529</v>
      </c>
      <c r="B61" s="1">
        <v>0</v>
      </c>
      <c r="C61" s="1">
        <v>0</v>
      </c>
      <c r="D61" s="83">
        <v>0</v>
      </c>
      <c r="E61" s="68">
        <f t="shared" si="1"/>
        <v>0</v>
      </c>
    </row>
    <row r="62" spans="1:5" ht="15.75" customHeight="1" x14ac:dyDescent="0.25">
      <c r="A62" s="82" t="s">
        <v>530</v>
      </c>
      <c r="B62" s="1">
        <v>0</v>
      </c>
      <c r="C62" s="1">
        <v>0</v>
      </c>
      <c r="D62" s="83">
        <v>6</v>
      </c>
      <c r="E62" s="68">
        <f t="shared" si="1"/>
        <v>0</v>
      </c>
    </row>
    <row r="63" spans="1:5" ht="15.75" customHeight="1" x14ac:dyDescent="0.25">
      <c r="A63" s="68" t="s">
        <v>531</v>
      </c>
      <c r="B63" s="1">
        <v>0</v>
      </c>
      <c r="C63" s="1">
        <v>0</v>
      </c>
      <c r="D63" s="83">
        <v>0</v>
      </c>
      <c r="E63" s="68">
        <f t="shared" si="1"/>
        <v>0</v>
      </c>
    </row>
    <row r="64" spans="1:5" ht="15.75" customHeight="1" x14ac:dyDescent="0.25">
      <c r="A64" s="68" t="s">
        <v>529</v>
      </c>
      <c r="B64" s="68">
        <v>0</v>
      </c>
      <c r="C64" s="83">
        <v>0</v>
      </c>
      <c r="D64" s="83">
        <v>0</v>
      </c>
      <c r="E64" s="68">
        <f t="shared" si="1"/>
        <v>0</v>
      </c>
    </row>
    <row r="65" spans="1:5" ht="15.75" customHeight="1" x14ac:dyDescent="0.25">
      <c r="A65" s="85" t="s">
        <v>480</v>
      </c>
      <c r="B65" s="68"/>
      <c r="C65" s="83"/>
      <c r="D65" s="83"/>
      <c r="E65" s="92">
        <f>SUM(E57:E64)</f>
        <v>0</v>
      </c>
    </row>
    <row r="66" spans="1:5" ht="15.75" customHeight="1" x14ac:dyDescent="0.25">
      <c r="A66" s="89" t="s">
        <v>148</v>
      </c>
      <c r="B66" s="89" t="s">
        <v>483</v>
      </c>
      <c r="C66" s="89" t="s">
        <v>11</v>
      </c>
      <c r="D66" s="89" t="s">
        <v>3</v>
      </c>
      <c r="E66" s="81" t="s">
        <v>4</v>
      </c>
    </row>
    <row r="67" spans="1:5" ht="15.75" customHeight="1" x14ac:dyDescent="0.25">
      <c r="A67" s="82" t="s">
        <v>152</v>
      </c>
      <c r="B67" s="3">
        <v>0</v>
      </c>
      <c r="C67" s="82">
        <v>0</v>
      </c>
      <c r="D67" s="70">
        <v>83.2</v>
      </c>
      <c r="E67" s="68">
        <f t="shared" ref="E67:E74" si="2">SUM(B67+C67)*D67</f>
        <v>0</v>
      </c>
    </row>
    <row r="68" spans="1:5" ht="15.75" customHeight="1" x14ac:dyDescent="0.25">
      <c r="A68" s="82" t="s">
        <v>532</v>
      </c>
      <c r="B68" s="1">
        <v>0</v>
      </c>
      <c r="C68" s="1">
        <v>0</v>
      </c>
      <c r="D68" s="82">
        <v>49.1</v>
      </c>
      <c r="E68" s="68">
        <f t="shared" si="2"/>
        <v>0</v>
      </c>
    </row>
    <row r="69" spans="1:5" ht="15.75" customHeight="1" x14ac:dyDescent="0.25">
      <c r="A69" s="82" t="s">
        <v>852</v>
      </c>
      <c r="B69" s="1">
        <v>0</v>
      </c>
      <c r="C69" s="1">
        <v>0</v>
      </c>
      <c r="D69" s="70">
        <v>5.8</v>
      </c>
      <c r="E69" s="68">
        <f t="shared" si="2"/>
        <v>0</v>
      </c>
    </row>
    <row r="70" spans="1:5" ht="15.75" customHeight="1" x14ac:dyDescent="0.25">
      <c r="A70" s="82" t="s">
        <v>533</v>
      </c>
      <c r="B70" s="1">
        <v>7</v>
      </c>
      <c r="C70" s="1">
        <v>0</v>
      </c>
      <c r="D70" s="70">
        <v>8.6999999999999993</v>
      </c>
      <c r="E70" s="68">
        <f t="shared" si="2"/>
        <v>60.899999999999991</v>
      </c>
    </row>
    <row r="71" spans="1:5" ht="15.75" customHeight="1" x14ac:dyDescent="0.25">
      <c r="A71" s="82" t="s">
        <v>172</v>
      </c>
      <c r="B71" s="1">
        <v>17</v>
      </c>
      <c r="C71" s="1">
        <v>0</v>
      </c>
      <c r="D71" s="70">
        <v>6.34</v>
      </c>
      <c r="E71" s="68">
        <f t="shared" si="2"/>
        <v>107.78</v>
      </c>
    </row>
    <row r="72" spans="1:5" ht="15.75" customHeight="1" x14ac:dyDescent="0.25">
      <c r="A72" s="82" t="s">
        <v>534</v>
      </c>
      <c r="B72" s="1">
        <v>0</v>
      </c>
      <c r="C72" s="1">
        <v>0</v>
      </c>
      <c r="D72" s="70">
        <v>35.9</v>
      </c>
      <c r="E72" s="68">
        <f t="shared" si="2"/>
        <v>0</v>
      </c>
    </row>
    <row r="73" spans="1:5" ht="15.75" customHeight="1" x14ac:dyDescent="0.25">
      <c r="A73" s="82" t="s">
        <v>535</v>
      </c>
      <c r="B73" s="1">
        <v>0</v>
      </c>
      <c r="C73" s="1">
        <v>0</v>
      </c>
      <c r="D73" s="70">
        <v>0</v>
      </c>
      <c r="E73" s="68">
        <f t="shared" si="2"/>
        <v>0</v>
      </c>
    </row>
    <row r="74" spans="1:5" ht="15.75" customHeight="1" x14ac:dyDescent="0.25">
      <c r="A74" s="82" t="s">
        <v>536</v>
      </c>
      <c r="B74" s="1">
        <v>8</v>
      </c>
      <c r="C74" s="1">
        <v>0</v>
      </c>
      <c r="D74" s="70">
        <v>8.76</v>
      </c>
      <c r="E74" s="68">
        <f>SUM(B74+C74)*D74</f>
        <v>70.08</v>
      </c>
    </row>
    <row r="75" spans="1:5" ht="15.75" customHeight="1" x14ac:dyDescent="0.25">
      <c r="A75" s="93" t="s">
        <v>480</v>
      </c>
      <c r="B75" s="82"/>
      <c r="C75" s="82"/>
      <c r="D75" s="83"/>
      <c r="E75" s="86">
        <f>SUM(E67:E74)</f>
        <v>238.76</v>
      </c>
    </row>
    <row r="76" spans="1:5" ht="15.75" customHeight="1" x14ac:dyDescent="0.25">
      <c r="A76" s="89" t="s">
        <v>537</v>
      </c>
      <c r="B76" s="89" t="s">
        <v>483</v>
      </c>
      <c r="C76" s="89" t="s">
        <v>11</v>
      </c>
      <c r="D76" s="89" t="s">
        <v>3</v>
      </c>
      <c r="E76" s="81" t="s">
        <v>4</v>
      </c>
    </row>
    <row r="77" spans="1:5" ht="15.75" customHeight="1" x14ac:dyDescent="0.25">
      <c r="A77" s="82" t="s">
        <v>205</v>
      </c>
      <c r="B77" s="82">
        <v>0</v>
      </c>
      <c r="C77" s="82">
        <v>0</v>
      </c>
      <c r="D77" s="70">
        <v>25.75</v>
      </c>
      <c r="E77" s="68">
        <f t="shared" ref="E77:E89" si="3">SUM(B77+C77)*D77</f>
        <v>0</v>
      </c>
    </row>
    <row r="78" spans="1:5" ht="15.75" customHeight="1" x14ac:dyDescent="0.25">
      <c r="A78" s="82" t="s">
        <v>538</v>
      </c>
      <c r="B78" s="1">
        <v>0</v>
      </c>
      <c r="C78" s="1">
        <v>0</v>
      </c>
      <c r="D78" s="70">
        <v>21.85</v>
      </c>
      <c r="E78" s="68">
        <f t="shared" si="3"/>
        <v>0</v>
      </c>
    </row>
    <row r="79" spans="1:5" ht="15.75" customHeight="1" x14ac:dyDescent="0.25">
      <c r="A79" s="91" t="s">
        <v>539</v>
      </c>
      <c r="B79" s="1">
        <v>0</v>
      </c>
      <c r="C79" s="1">
        <v>0</v>
      </c>
      <c r="D79" s="70">
        <v>24.9</v>
      </c>
      <c r="E79" s="68">
        <f t="shared" si="3"/>
        <v>0</v>
      </c>
    </row>
    <row r="80" spans="1:5" ht="15.75" customHeight="1" x14ac:dyDescent="0.25">
      <c r="A80" s="68" t="s">
        <v>540</v>
      </c>
      <c r="B80" s="1">
        <v>0</v>
      </c>
      <c r="C80" s="1">
        <v>0</v>
      </c>
      <c r="D80" s="70">
        <v>27.36</v>
      </c>
      <c r="E80" s="68">
        <f t="shared" si="3"/>
        <v>0</v>
      </c>
    </row>
    <row r="81" spans="1:5" ht="15.75" customHeight="1" x14ac:dyDescent="0.25">
      <c r="A81" s="68" t="s">
        <v>541</v>
      </c>
      <c r="B81" s="1">
        <v>0</v>
      </c>
      <c r="C81" s="1">
        <v>0</v>
      </c>
      <c r="D81" s="70">
        <v>29</v>
      </c>
      <c r="E81" s="68">
        <f t="shared" si="3"/>
        <v>0</v>
      </c>
    </row>
    <row r="82" spans="1:5" ht="15.75" customHeight="1" x14ac:dyDescent="0.25">
      <c r="A82" s="68" t="s">
        <v>542</v>
      </c>
      <c r="B82" s="1">
        <v>23</v>
      </c>
      <c r="C82" s="1">
        <v>0</v>
      </c>
      <c r="D82" s="70">
        <v>3.93</v>
      </c>
      <c r="E82" s="68">
        <f t="shared" si="3"/>
        <v>90.39</v>
      </c>
    </row>
    <row r="83" spans="1:5" ht="15.75" customHeight="1" x14ac:dyDescent="0.25">
      <c r="A83" s="68" t="s">
        <v>543</v>
      </c>
      <c r="B83" s="1">
        <v>0</v>
      </c>
      <c r="C83" s="1">
        <v>0</v>
      </c>
      <c r="D83" s="70">
        <v>0</v>
      </c>
      <c r="E83" s="68">
        <f t="shared" si="3"/>
        <v>0</v>
      </c>
    </row>
    <row r="84" spans="1:5" ht="15.75" customHeight="1" x14ac:dyDescent="0.25">
      <c r="A84" s="68" t="s">
        <v>88</v>
      </c>
      <c r="B84" s="1">
        <v>0</v>
      </c>
      <c r="C84" s="1">
        <v>0</v>
      </c>
      <c r="D84" s="70">
        <v>18.489999999999998</v>
      </c>
      <c r="E84" s="68">
        <f t="shared" si="3"/>
        <v>0</v>
      </c>
    </row>
    <row r="85" spans="1:5" ht="15.75" customHeight="1" x14ac:dyDescent="0.25">
      <c r="A85" s="82" t="s">
        <v>544</v>
      </c>
      <c r="B85" s="1">
        <v>0</v>
      </c>
      <c r="C85" s="1">
        <v>0</v>
      </c>
      <c r="D85" s="70">
        <v>0</v>
      </c>
      <c r="E85" s="68">
        <f t="shared" si="3"/>
        <v>0</v>
      </c>
    </row>
    <row r="86" spans="1:5" ht="15.75" customHeight="1" x14ac:dyDescent="0.25">
      <c r="A86" s="82" t="s">
        <v>545</v>
      </c>
      <c r="B86" s="1">
        <v>0</v>
      </c>
      <c r="C86" s="1">
        <v>0</v>
      </c>
      <c r="D86" s="70">
        <v>5.41</v>
      </c>
      <c r="E86" s="68">
        <f t="shared" si="3"/>
        <v>0</v>
      </c>
    </row>
    <row r="87" spans="1:5" ht="15.75" customHeight="1" x14ac:dyDescent="0.25">
      <c r="A87" s="82" t="s">
        <v>546</v>
      </c>
      <c r="B87" s="1">
        <v>0</v>
      </c>
      <c r="C87" s="1">
        <v>0</v>
      </c>
      <c r="D87" s="70">
        <v>19.82</v>
      </c>
      <c r="E87" s="68">
        <f t="shared" si="3"/>
        <v>0</v>
      </c>
    </row>
    <row r="88" spans="1:5" ht="15.75" customHeight="1" x14ac:dyDescent="0.25">
      <c r="A88" s="68" t="s">
        <v>547</v>
      </c>
      <c r="B88" s="1">
        <v>0</v>
      </c>
      <c r="C88" s="1">
        <v>0</v>
      </c>
      <c r="D88" s="70">
        <v>0</v>
      </c>
      <c r="E88" s="68">
        <f t="shared" si="3"/>
        <v>0</v>
      </c>
    </row>
    <row r="89" spans="1:5" ht="15.75" customHeight="1" x14ac:dyDescent="0.25">
      <c r="A89" s="68" t="s">
        <v>853</v>
      </c>
      <c r="B89" s="1">
        <v>26</v>
      </c>
      <c r="C89" s="1">
        <v>0</v>
      </c>
      <c r="D89" s="70">
        <v>9.27</v>
      </c>
      <c r="E89" s="68">
        <f t="shared" si="3"/>
        <v>241.01999999999998</v>
      </c>
    </row>
    <row r="90" spans="1:5" ht="15.75" customHeight="1" x14ac:dyDescent="0.25">
      <c r="A90" s="94" t="s">
        <v>548</v>
      </c>
      <c r="B90" s="82">
        <v>0</v>
      </c>
      <c r="C90" s="82">
        <v>0</v>
      </c>
      <c r="D90" s="95"/>
      <c r="E90" s="96">
        <f>SUM(E77:E89)</f>
        <v>331.40999999999997</v>
      </c>
    </row>
    <row r="92" spans="1:5" ht="15.75" customHeight="1" x14ac:dyDescent="0.25">
      <c r="A92" s="81" t="s">
        <v>549</v>
      </c>
      <c r="B92" s="81" t="s">
        <v>483</v>
      </c>
      <c r="C92" s="81" t="s">
        <v>11</v>
      </c>
      <c r="D92" s="89" t="s">
        <v>3</v>
      </c>
      <c r="E92" s="81" t="s">
        <v>4</v>
      </c>
    </row>
    <row r="93" spans="1:5" ht="15.75" customHeight="1" x14ac:dyDescent="0.25">
      <c r="A93" s="82" t="s">
        <v>550</v>
      </c>
      <c r="B93" s="1">
        <v>0</v>
      </c>
      <c r="C93" s="1">
        <v>7.48</v>
      </c>
      <c r="D93" s="70">
        <v>1.73</v>
      </c>
      <c r="E93" s="68">
        <f t="shared" ref="E93:E106" si="4">SUM(B93+C93)*D93</f>
        <v>12.9404</v>
      </c>
    </row>
    <row r="94" spans="1:5" ht="15.75" customHeight="1" x14ac:dyDescent="0.25">
      <c r="A94" s="82" t="s">
        <v>896</v>
      </c>
      <c r="B94" s="1">
        <v>0</v>
      </c>
      <c r="C94" s="1">
        <v>2.62</v>
      </c>
      <c r="D94" s="70">
        <v>3.58</v>
      </c>
      <c r="E94" s="68">
        <f t="shared" si="4"/>
        <v>9.3795999999999999</v>
      </c>
    </row>
    <row r="95" spans="1:5" ht="15.75" customHeight="1" x14ac:dyDescent="0.25">
      <c r="A95" s="82" t="s">
        <v>205</v>
      </c>
      <c r="B95" s="1">
        <v>0</v>
      </c>
      <c r="C95" s="1">
        <v>0</v>
      </c>
      <c r="D95" s="70">
        <v>25.99</v>
      </c>
      <c r="E95" s="68">
        <f t="shared" si="4"/>
        <v>0</v>
      </c>
    </row>
    <row r="96" spans="1:5" ht="15.75" customHeight="1" x14ac:dyDescent="0.25">
      <c r="A96" s="82" t="s">
        <v>551</v>
      </c>
      <c r="B96" s="1">
        <v>0</v>
      </c>
      <c r="C96" s="1">
        <v>5</v>
      </c>
      <c r="D96" s="70">
        <v>29.94</v>
      </c>
      <c r="E96" s="68">
        <f t="shared" si="4"/>
        <v>149.70000000000002</v>
      </c>
    </row>
    <row r="97" spans="1:6" ht="15.75" customHeight="1" x14ac:dyDescent="0.25">
      <c r="A97" s="82" t="s">
        <v>552</v>
      </c>
      <c r="B97" s="1">
        <v>0</v>
      </c>
      <c r="C97" s="1">
        <v>6</v>
      </c>
      <c r="D97" s="70">
        <v>34.94</v>
      </c>
      <c r="E97" s="68">
        <f t="shared" si="4"/>
        <v>209.64</v>
      </c>
    </row>
    <row r="98" spans="1:6" ht="15.75" customHeight="1" x14ac:dyDescent="0.25">
      <c r="A98" s="82" t="s">
        <v>213</v>
      </c>
      <c r="B98" s="1">
        <v>0</v>
      </c>
      <c r="C98" s="1">
        <v>0</v>
      </c>
      <c r="D98" s="70">
        <v>19.88</v>
      </c>
      <c r="E98" s="68">
        <f t="shared" si="4"/>
        <v>0</v>
      </c>
    </row>
    <row r="99" spans="1:6" ht="15.75" customHeight="1" x14ac:dyDescent="0.25">
      <c r="A99" s="82" t="s">
        <v>894</v>
      </c>
      <c r="B99" s="1">
        <v>0</v>
      </c>
      <c r="C99" s="1">
        <v>5.51</v>
      </c>
      <c r="D99" s="70">
        <v>58.22</v>
      </c>
      <c r="E99" s="68">
        <f t="shared" si="4"/>
        <v>320.79219999999998</v>
      </c>
    </row>
    <row r="100" spans="1:6" ht="15.75" customHeight="1" x14ac:dyDescent="0.25">
      <c r="A100" s="82" t="s">
        <v>209</v>
      </c>
      <c r="B100" s="1">
        <v>0</v>
      </c>
      <c r="C100" s="1">
        <v>4.95</v>
      </c>
      <c r="D100" s="70">
        <v>16.87</v>
      </c>
      <c r="E100" s="68">
        <f t="shared" si="4"/>
        <v>83.506500000000003</v>
      </c>
    </row>
    <row r="101" spans="1:6" ht="15.75" customHeight="1" x14ac:dyDescent="0.25">
      <c r="A101" s="82" t="s">
        <v>18</v>
      </c>
      <c r="B101" s="1">
        <v>0</v>
      </c>
      <c r="C101" s="1">
        <v>7</v>
      </c>
      <c r="D101" s="70">
        <v>143.69999999999999</v>
      </c>
      <c r="E101" s="68">
        <f>SUM(B101+C101)*D101</f>
        <v>1005.8999999999999</v>
      </c>
      <c r="F101" s="60"/>
    </row>
    <row r="102" spans="1:6" ht="15.75" customHeight="1" x14ac:dyDescent="0.25">
      <c r="A102" s="82" t="s">
        <v>220</v>
      </c>
      <c r="B102" s="1">
        <v>0</v>
      </c>
      <c r="C102" s="1">
        <v>3</v>
      </c>
      <c r="D102" s="70">
        <v>21.99</v>
      </c>
      <c r="E102" s="68">
        <f t="shared" si="4"/>
        <v>65.97</v>
      </c>
    </row>
    <row r="103" spans="1:6" ht="15.75" customHeight="1" x14ac:dyDescent="0.25">
      <c r="A103" s="82" t="s">
        <v>538</v>
      </c>
      <c r="B103" s="1">
        <v>0</v>
      </c>
      <c r="C103" s="1">
        <v>0</v>
      </c>
      <c r="D103" s="70">
        <v>29.75</v>
      </c>
      <c r="E103" s="68">
        <f t="shared" si="4"/>
        <v>0</v>
      </c>
    </row>
    <row r="104" spans="1:6" ht="15.75" customHeight="1" x14ac:dyDescent="0.25">
      <c r="A104" s="82" t="s">
        <v>897</v>
      </c>
      <c r="B104" s="1">
        <v>0</v>
      </c>
      <c r="C104" s="1">
        <v>2.83</v>
      </c>
      <c r="D104" s="70">
        <v>9.8000000000000007</v>
      </c>
      <c r="E104" s="68">
        <f t="shared" si="4"/>
        <v>27.734000000000002</v>
      </c>
    </row>
    <row r="105" spans="1:6" ht="15.75" customHeight="1" x14ac:dyDescent="0.25">
      <c r="A105" s="82" t="s">
        <v>553</v>
      </c>
      <c r="B105" s="1">
        <v>0</v>
      </c>
      <c r="C105" s="1">
        <v>5.45</v>
      </c>
      <c r="D105" s="70">
        <v>33.520000000000003</v>
      </c>
      <c r="E105" s="68">
        <f>SUM(B105+C105)*D105</f>
        <v>182.68400000000003</v>
      </c>
    </row>
    <row r="106" spans="1:6" ht="15.75" customHeight="1" x14ac:dyDescent="0.25">
      <c r="A106" s="82" t="s">
        <v>933</v>
      </c>
      <c r="B106" s="1">
        <v>0</v>
      </c>
      <c r="C106" s="1">
        <v>2.4500000000000002</v>
      </c>
      <c r="D106" s="70">
        <v>19.96</v>
      </c>
      <c r="E106" s="68">
        <f t="shared" si="4"/>
        <v>48.902000000000008</v>
      </c>
    </row>
    <row r="107" spans="1:6" ht="15.75" customHeight="1" x14ac:dyDescent="0.25">
      <c r="A107" s="64" t="s">
        <v>480</v>
      </c>
      <c r="B107" s="62"/>
      <c r="C107" s="62"/>
      <c r="D107" s="63"/>
      <c r="E107" s="86">
        <f>SUM(E93:E106)</f>
        <v>2117.1486999999997</v>
      </c>
    </row>
    <row r="110" spans="1:6" ht="15.75" customHeight="1" x14ac:dyDescent="0.25">
      <c r="A110" s="81" t="s">
        <v>555</v>
      </c>
      <c r="B110" s="81" t="s">
        <v>483</v>
      </c>
      <c r="C110" s="81" t="s">
        <v>484</v>
      </c>
      <c r="D110" s="81" t="s">
        <v>3</v>
      </c>
      <c r="E110" s="81" t="s">
        <v>4</v>
      </c>
    </row>
    <row r="111" spans="1:6" ht="15.75" customHeight="1" x14ac:dyDescent="0.25">
      <c r="A111" s="68" t="s">
        <v>556</v>
      </c>
      <c r="B111" s="1">
        <v>1</v>
      </c>
      <c r="C111" s="1">
        <v>0</v>
      </c>
      <c r="D111" s="68">
        <v>23.42</v>
      </c>
      <c r="E111" s="68">
        <f t="shared" ref="E111:E114" si="5">SUM(B111+C111)*D111</f>
        <v>23.42</v>
      </c>
    </row>
    <row r="112" spans="1:6" ht="15.75" customHeight="1" x14ac:dyDescent="0.25">
      <c r="A112" s="68" t="s">
        <v>557</v>
      </c>
      <c r="B112" s="68">
        <v>0</v>
      </c>
      <c r="C112" s="68">
        <v>0</v>
      </c>
      <c r="D112" s="68">
        <v>0</v>
      </c>
      <c r="E112" s="68">
        <f t="shared" si="5"/>
        <v>0</v>
      </c>
    </row>
    <row r="113" spans="1:5" ht="15.75" customHeight="1" x14ac:dyDescent="0.25">
      <c r="A113" s="68" t="s">
        <v>558</v>
      </c>
      <c r="B113" s="68">
        <v>0</v>
      </c>
      <c r="C113" s="68">
        <v>0</v>
      </c>
      <c r="D113" s="68">
        <v>0</v>
      </c>
      <c r="E113" s="68">
        <f t="shared" si="5"/>
        <v>0</v>
      </c>
    </row>
    <row r="114" spans="1:5" ht="15.75" customHeight="1" x14ac:dyDescent="0.25">
      <c r="A114" s="68" t="s">
        <v>558</v>
      </c>
      <c r="B114" s="3">
        <v>0</v>
      </c>
      <c r="C114" s="3">
        <v>0</v>
      </c>
      <c r="D114" s="3">
        <v>0</v>
      </c>
      <c r="E114" s="68">
        <f t="shared" si="5"/>
        <v>0</v>
      </c>
    </row>
    <row r="115" spans="1:5" ht="15.75" customHeight="1" x14ac:dyDescent="0.25">
      <c r="A115" s="64" t="s">
        <v>480</v>
      </c>
      <c r="B115" s="62"/>
      <c r="C115" s="62"/>
      <c r="D115" s="63"/>
      <c r="E115" s="86">
        <f>SUM(E111:E114)</f>
        <v>23.42</v>
      </c>
    </row>
    <row r="117" spans="1:5" ht="15.75" customHeight="1" x14ac:dyDescent="0.25">
      <c r="A117" s="59" t="s">
        <v>559</v>
      </c>
      <c r="B117" s="3"/>
      <c r="C117" s="3"/>
      <c r="D117" s="58"/>
      <c r="E117" s="96">
        <f>SUM(E115,E107,E90,E75,E65,E55)</f>
        <v>3895.2690000000002</v>
      </c>
    </row>
    <row r="118" spans="1:5" ht="15.75" customHeight="1" x14ac:dyDescent="0.25">
      <c r="A118" s="53" t="s">
        <v>560</v>
      </c>
    </row>
  </sheetData>
  <sortState xmlns:xlrd2="http://schemas.microsoft.com/office/spreadsheetml/2017/richdata2" ref="A3:E54">
    <sortCondition ref="A2:A54"/>
  </sortState>
  <mergeCells count="3">
    <mergeCell ref="A1:E1"/>
    <mergeCell ref="A107:D107"/>
    <mergeCell ref="A115:D115"/>
  </mergeCells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activeCell="E31" sqref="E31"/>
    </sheetView>
  </sheetViews>
  <sheetFormatPr defaultColWidth="14.42578125" defaultRowHeight="15.75" customHeight="1" x14ac:dyDescent="0.25"/>
  <cols>
    <col min="1" max="1" width="42.140625" style="53" bestFit="1" customWidth="1"/>
    <col min="2" max="2" width="8.7109375" style="53" customWidth="1"/>
    <col min="3" max="3" width="12.140625" style="53" customWidth="1"/>
    <col min="4" max="4" width="12.85546875" style="53" customWidth="1"/>
    <col min="5" max="5" width="12.140625" style="53" customWidth="1"/>
    <col min="6" max="6" width="8.7109375" style="53" customWidth="1"/>
    <col min="7" max="16384" width="14.42578125" style="53"/>
  </cols>
  <sheetData>
    <row r="1" spans="1:6" ht="15.75" customHeight="1" x14ac:dyDescent="0.25">
      <c r="A1" s="65" t="s">
        <v>561</v>
      </c>
      <c r="B1" s="62"/>
      <c r="C1" s="62"/>
      <c r="D1" s="62"/>
      <c r="E1" s="63"/>
    </row>
    <row r="2" spans="1:6" ht="15.75" customHeight="1" x14ac:dyDescent="0.25">
      <c r="A2" s="73" t="s">
        <v>562</v>
      </c>
      <c r="B2" s="73" t="s">
        <v>483</v>
      </c>
      <c r="C2" s="73" t="s">
        <v>484</v>
      </c>
      <c r="D2" s="73" t="s">
        <v>3</v>
      </c>
      <c r="E2" s="74" t="s">
        <v>4</v>
      </c>
    </row>
    <row r="3" spans="1:6" ht="15.75" customHeight="1" x14ac:dyDescent="0.25">
      <c r="A3" s="4" t="s">
        <v>870</v>
      </c>
      <c r="B3" s="1">
        <v>8</v>
      </c>
      <c r="C3" s="1">
        <v>0</v>
      </c>
      <c r="D3" s="4">
        <v>17.079999999999998</v>
      </c>
      <c r="E3" s="3">
        <f>SUM(B3+C3)*D3</f>
        <v>136.63999999999999</v>
      </c>
    </row>
    <row r="4" spans="1:6" ht="15.75" customHeight="1" x14ac:dyDescent="0.25">
      <c r="A4" s="4" t="s">
        <v>866</v>
      </c>
      <c r="B4" s="1">
        <v>0</v>
      </c>
      <c r="C4" s="1">
        <v>4.93</v>
      </c>
      <c r="D4" s="75">
        <v>14.06</v>
      </c>
      <c r="E4" s="3">
        <f t="shared" ref="E4:E29" si="0">SUM(B4+C4)*D4</f>
        <v>69.315799999999996</v>
      </c>
      <c r="F4" s="60"/>
    </row>
    <row r="5" spans="1:6" ht="15.75" customHeight="1" x14ac:dyDescent="0.25">
      <c r="A5" s="4" t="s">
        <v>563</v>
      </c>
      <c r="B5" s="1">
        <v>0</v>
      </c>
      <c r="C5" s="1">
        <v>0</v>
      </c>
      <c r="D5" s="75">
        <v>0</v>
      </c>
      <c r="E5" s="3">
        <f t="shared" si="0"/>
        <v>0</v>
      </c>
      <c r="F5" s="60"/>
    </row>
    <row r="6" spans="1:6" ht="15.75" customHeight="1" x14ac:dyDescent="0.25">
      <c r="A6" s="4" t="s">
        <v>564</v>
      </c>
      <c r="B6" s="1">
        <v>0</v>
      </c>
      <c r="C6" s="1">
        <v>1.85</v>
      </c>
      <c r="D6" s="75">
        <v>3</v>
      </c>
      <c r="E6" s="3">
        <f t="shared" si="0"/>
        <v>5.5500000000000007</v>
      </c>
      <c r="F6" s="60"/>
    </row>
    <row r="7" spans="1:6" ht="15.75" customHeight="1" x14ac:dyDescent="0.25">
      <c r="A7" s="4" t="s">
        <v>565</v>
      </c>
      <c r="B7" s="1">
        <v>0</v>
      </c>
      <c r="C7" s="1">
        <v>0</v>
      </c>
      <c r="D7" s="75">
        <v>0</v>
      </c>
      <c r="E7" s="3">
        <f t="shared" si="0"/>
        <v>0</v>
      </c>
      <c r="F7" s="60"/>
    </row>
    <row r="8" spans="1:6" ht="15.75" customHeight="1" x14ac:dyDescent="0.25">
      <c r="A8" s="4" t="s">
        <v>566</v>
      </c>
      <c r="B8" s="1">
        <v>0</v>
      </c>
      <c r="C8" s="1">
        <v>0</v>
      </c>
      <c r="D8" s="75">
        <v>0</v>
      </c>
      <c r="E8" s="3">
        <f t="shared" si="0"/>
        <v>0</v>
      </c>
      <c r="F8" s="60"/>
    </row>
    <row r="9" spans="1:6" ht="15.75" customHeight="1" x14ac:dyDescent="0.25">
      <c r="A9" s="4" t="s">
        <v>895</v>
      </c>
      <c r="B9" s="1">
        <v>0</v>
      </c>
      <c r="C9" s="1">
        <v>0</v>
      </c>
      <c r="D9" s="75">
        <v>2.42</v>
      </c>
      <c r="E9" s="3">
        <f t="shared" si="0"/>
        <v>0</v>
      </c>
      <c r="F9" s="60"/>
    </row>
    <row r="10" spans="1:6" ht="15.75" customHeight="1" x14ac:dyDescent="0.25">
      <c r="A10" s="4" t="s">
        <v>871</v>
      </c>
      <c r="B10" s="1">
        <v>0</v>
      </c>
      <c r="C10" s="1">
        <v>0</v>
      </c>
      <c r="D10" s="75">
        <v>2.99</v>
      </c>
      <c r="E10" s="3">
        <f t="shared" si="0"/>
        <v>0</v>
      </c>
      <c r="F10" s="60"/>
    </row>
    <row r="11" spans="1:6" ht="15.75" customHeight="1" x14ac:dyDescent="0.25">
      <c r="A11" s="4" t="s">
        <v>567</v>
      </c>
      <c r="B11" s="1">
        <v>0</v>
      </c>
      <c r="C11" s="1">
        <v>0</v>
      </c>
      <c r="D11" s="75">
        <v>3</v>
      </c>
      <c r="E11" s="3">
        <f t="shared" si="0"/>
        <v>0</v>
      </c>
      <c r="F11" s="60"/>
    </row>
    <row r="12" spans="1:6" ht="15.75" customHeight="1" x14ac:dyDescent="0.25">
      <c r="A12" s="4" t="s">
        <v>568</v>
      </c>
      <c r="B12" s="1">
        <v>0</v>
      </c>
      <c r="C12" s="1">
        <v>0</v>
      </c>
      <c r="D12" s="75">
        <v>0</v>
      </c>
      <c r="E12" s="3">
        <f t="shared" si="0"/>
        <v>0</v>
      </c>
      <c r="F12" s="60"/>
    </row>
    <row r="13" spans="1:6" ht="15.75" customHeight="1" x14ac:dyDescent="0.25">
      <c r="A13" s="4" t="s">
        <v>569</v>
      </c>
      <c r="B13" s="1">
        <v>0</v>
      </c>
      <c r="C13" s="1">
        <v>0</v>
      </c>
      <c r="D13" s="75">
        <v>3</v>
      </c>
      <c r="E13" s="3">
        <f t="shared" si="0"/>
        <v>0</v>
      </c>
      <c r="F13" s="60"/>
    </row>
    <row r="14" spans="1:6" ht="15.75" customHeight="1" x14ac:dyDescent="0.25">
      <c r="A14" s="4" t="s">
        <v>570</v>
      </c>
      <c r="B14" s="1">
        <v>0</v>
      </c>
      <c r="C14" s="1">
        <v>0.69</v>
      </c>
      <c r="D14" s="75">
        <v>11</v>
      </c>
      <c r="E14" s="3">
        <f t="shared" si="0"/>
        <v>7.59</v>
      </c>
      <c r="F14" s="60"/>
    </row>
    <row r="15" spans="1:6" ht="15.75" customHeight="1" x14ac:dyDescent="0.25">
      <c r="A15" s="4" t="s">
        <v>867</v>
      </c>
      <c r="B15" s="1">
        <v>0</v>
      </c>
      <c r="C15" s="1">
        <v>0</v>
      </c>
      <c r="D15" s="75">
        <v>67.77</v>
      </c>
      <c r="E15" s="3">
        <f t="shared" si="0"/>
        <v>0</v>
      </c>
      <c r="F15" s="60"/>
    </row>
    <row r="16" spans="1:6" s="77" customFormat="1" ht="15.75" customHeight="1" x14ac:dyDescent="0.25">
      <c r="A16" s="5" t="s">
        <v>872</v>
      </c>
      <c r="B16" s="1">
        <v>0</v>
      </c>
      <c r="C16" s="1">
        <v>1.34</v>
      </c>
      <c r="D16" s="76">
        <v>8.99</v>
      </c>
      <c r="E16" s="3">
        <f t="shared" si="0"/>
        <v>12.046600000000002</v>
      </c>
    </row>
    <row r="17" spans="1:5" ht="15.75" customHeight="1" x14ac:dyDescent="0.25">
      <c r="A17" s="4" t="s">
        <v>571</v>
      </c>
      <c r="B17" s="1">
        <v>0</v>
      </c>
      <c r="C17" s="1">
        <v>0</v>
      </c>
      <c r="D17" s="75">
        <v>0</v>
      </c>
      <c r="E17" s="3">
        <f t="shared" si="0"/>
        <v>0</v>
      </c>
    </row>
    <row r="18" spans="1:5" ht="15.75" customHeight="1" x14ac:dyDescent="0.25">
      <c r="A18" s="4" t="s">
        <v>572</v>
      </c>
      <c r="B18" s="1">
        <v>0</v>
      </c>
      <c r="C18" s="1">
        <v>0.87</v>
      </c>
      <c r="D18" s="75">
        <v>40.380000000000003</v>
      </c>
      <c r="E18" s="3">
        <f t="shared" si="0"/>
        <v>35.130600000000001</v>
      </c>
    </row>
    <row r="19" spans="1:5" ht="15.75" customHeight="1" x14ac:dyDescent="0.25">
      <c r="A19" s="4" t="s">
        <v>884</v>
      </c>
      <c r="B19" s="1">
        <v>0</v>
      </c>
      <c r="C19" s="1">
        <v>0</v>
      </c>
      <c r="D19" s="75">
        <v>13.85</v>
      </c>
      <c r="E19" s="3">
        <f t="shared" si="0"/>
        <v>0</v>
      </c>
    </row>
    <row r="20" spans="1:5" ht="15.75" customHeight="1" x14ac:dyDescent="0.25">
      <c r="A20" s="4" t="s">
        <v>573</v>
      </c>
      <c r="B20" s="1">
        <v>0</v>
      </c>
      <c r="C20" s="1">
        <v>0</v>
      </c>
      <c r="D20" s="75">
        <v>14.06</v>
      </c>
      <c r="E20" s="3">
        <f t="shared" si="0"/>
        <v>0</v>
      </c>
    </row>
    <row r="21" spans="1:5" ht="15.75" customHeight="1" x14ac:dyDescent="0.25">
      <c r="A21" s="4" t="s">
        <v>954</v>
      </c>
      <c r="B21" s="1">
        <v>0</v>
      </c>
      <c r="C21" s="1">
        <v>0</v>
      </c>
      <c r="D21" s="75">
        <v>3.67</v>
      </c>
      <c r="E21" s="3">
        <f t="shared" si="0"/>
        <v>0</v>
      </c>
    </row>
    <row r="22" spans="1:5" ht="15.75" customHeight="1" x14ac:dyDescent="0.25">
      <c r="A22" s="4" t="s">
        <v>575</v>
      </c>
      <c r="B22" s="1">
        <v>0</v>
      </c>
      <c r="C22" s="1">
        <v>0</v>
      </c>
      <c r="D22" s="75">
        <v>0</v>
      </c>
      <c r="E22" s="3">
        <f t="shared" si="0"/>
        <v>0</v>
      </c>
    </row>
    <row r="23" spans="1:5" ht="15.75" customHeight="1" x14ac:dyDescent="0.25">
      <c r="A23" s="4" t="s">
        <v>574</v>
      </c>
      <c r="B23" s="1">
        <v>0</v>
      </c>
      <c r="C23" s="1">
        <v>0</v>
      </c>
      <c r="D23" s="59">
        <v>0</v>
      </c>
      <c r="E23" s="3">
        <f t="shared" si="0"/>
        <v>0</v>
      </c>
    </row>
    <row r="24" spans="1:5" ht="15.75" customHeight="1" x14ac:dyDescent="0.25">
      <c r="A24" s="4" t="s">
        <v>903</v>
      </c>
      <c r="B24" s="1">
        <v>0</v>
      </c>
      <c r="C24" s="1">
        <v>5</v>
      </c>
      <c r="D24" s="75">
        <v>24.75</v>
      </c>
      <c r="E24" s="3">
        <f t="shared" si="0"/>
        <v>123.75</v>
      </c>
    </row>
    <row r="25" spans="1:5" ht="15.75" customHeight="1" x14ac:dyDescent="0.25">
      <c r="A25" s="4" t="s">
        <v>904</v>
      </c>
      <c r="B25" s="1">
        <v>0</v>
      </c>
      <c r="C25" s="1">
        <v>2.23</v>
      </c>
      <c r="D25" s="75">
        <v>7.4</v>
      </c>
      <c r="E25" s="3">
        <f t="shared" si="0"/>
        <v>16.501999999999999</v>
      </c>
    </row>
    <row r="26" spans="1:5" ht="15.75" customHeight="1" x14ac:dyDescent="0.25">
      <c r="A26" s="4" t="s">
        <v>873</v>
      </c>
      <c r="B26" s="1">
        <v>0</v>
      </c>
      <c r="C26" s="1">
        <v>1.23</v>
      </c>
      <c r="D26" s="75">
        <v>30.41</v>
      </c>
      <c r="E26" s="3">
        <f t="shared" si="0"/>
        <v>37.404299999999999</v>
      </c>
    </row>
    <row r="27" spans="1:5" ht="15.75" customHeight="1" x14ac:dyDescent="0.25">
      <c r="A27" s="4" t="s">
        <v>869</v>
      </c>
      <c r="B27" s="1">
        <v>0</v>
      </c>
      <c r="C27" s="1">
        <v>0</v>
      </c>
      <c r="D27" s="75">
        <v>6</v>
      </c>
      <c r="E27" s="3">
        <f t="shared" si="0"/>
        <v>0</v>
      </c>
    </row>
    <row r="28" spans="1:5" ht="15.75" customHeight="1" x14ac:dyDescent="0.25">
      <c r="A28" s="4" t="s">
        <v>868</v>
      </c>
      <c r="B28" s="1">
        <v>0</v>
      </c>
      <c r="C28" s="1">
        <v>0</v>
      </c>
      <c r="D28" s="75">
        <v>64</v>
      </c>
      <c r="E28" s="3">
        <f t="shared" si="0"/>
        <v>0</v>
      </c>
    </row>
    <row r="29" spans="1:5" ht="15.75" customHeight="1" x14ac:dyDescent="0.25">
      <c r="A29" s="4" t="s">
        <v>942</v>
      </c>
      <c r="B29" s="1">
        <v>0</v>
      </c>
      <c r="C29" s="1">
        <v>0</v>
      </c>
      <c r="D29" s="75">
        <v>8.23</v>
      </c>
      <c r="E29" s="3">
        <f t="shared" si="0"/>
        <v>0</v>
      </c>
    </row>
    <row r="30" spans="1:5" ht="15.75" customHeight="1" x14ac:dyDescent="0.25">
      <c r="A30" s="78" t="s">
        <v>480</v>
      </c>
      <c r="B30" s="79"/>
      <c r="C30" s="79"/>
      <c r="D30" s="80"/>
      <c r="E30" s="54">
        <f>SUM(E3:E29)</f>
        <v>443.92930000000001</v>
      </c>
    </row>
  </sheetData>
  <sortState xmlns:xlrd2="http://schemas.microsoft.com/office/spreadsheetml/2017/richdata2" ref="A3:E29">
    <sortCondition ref="A2:A29"/>
  </sortState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4"/>
  <sheetViews>
    <sheetView topLeftCell="A180" workbookViewId="0">
      <selection activeCell="A214" sqref="A214:G214"/>
    </sheetView>
  </sheetViews>
  <sheetFormatPr defaultColWidth="14.42578125" defaultRowHeight="15.75" customHeight="1" x14ac:dyDescent="0.25"/>
  <cols>
    <col min="1" max="1" width="44.140625" style="53" customWidth="1"/>
    <col min="2" max="2" width="11.42578125" style="53" customWidth="1"/>
    <col min="3" max="3" width="8.7109375" style="53" customWidth="1"/>
    <col min="4" max="4" width="11.42578125" style="53" customWidth="1"/>
    <col min="5" max="5" width="13.140625" style="53" customWidth="1"/>
    <col min="6" max="6" width="8.7109375" style="53" customWidth="1"/>
    <col min="7" max="7" width="16.7109375" style="53" customWidth="1"/>
    <col min="8" max="18" width="8.7109375" style="53" customWidth="1"/>
    <col min="19" max="16384" width="14.42578125" style="53"/>
  </cols>
  <sheetData>
    <row r="1" spans="1:18" ht="15.75" customHeight="1" x14ac:dyDescent="0.25">
      <c r="A1" s="65" t="s">
        <v>576</v>
      </c>
      <c r="B1" s="62"/>
      <c r="C1" s="62"/>
      <c r="D1" s="62"/>
      <c r="E1" s="62"/>
      <c r="F1" s="62"/>
      <c r="G1" s="63"/>
      <c r="L1" s="66" t="s">
        <v>577</v>
      </c>
      <c r="M1" s="62"/>
      <c r="N1" s="62"/>
      <c r="O1" s="62"/>
      <c r="P1" s="62"/>
      <c r="Q1" s="62"/>
      <c r="R1" s="63"/>
    </row>
    <row r="2" spans="1:18" ht="15.75" customHeight="1" x14ac:dyDescent="0.25">
      <c r="A2" s="57" t="s">
        <v>578</v>
      </c>
      <c r="B2" s="57" t="s">
        <v>1</v>
      </c>
      <c r="C2" s="57" t="s">
        <v>2</v>
      </c>
      <c r="D2" s="57" t="s">
        <v>3</v>
      </c>
      <c r="E2" s="57" t="s">
        <v>4</v>
      </c>
      <c r="F2" s="57" t="s">
        <v>5</v>
      </c>
      <c r="G2" s="57" t="s">
        <v>6</v>
      </c>
      <c r="L2" s="67" t="s">
        <v>579</v>
      </c>
      <c r="M2" s="62"/>
      <c r="N2" s="63"/>
      <c r="O2" s="58">
        <v>0</v>
      </c>
      <c r="P2" s="58"/>
      <c r="Q2" s="58"/>
      <c r="R2" s="58"/>
    </row>
    <row r="3" spans="1:18" ht="15.75" customHeight="1" x14ac:dyDescent="0.25">
      <c r="A3" s="68" t="s">
        <v>580</v>
      </c>
      <c r="B3" s="1">
        <v>0</v>
      </c>
      <c r="C3" s="69" t="s">
        <v>14</v>
      </c>
      <c r="D3" s="58">
        <v>152.9</v>
      </c>
      <c r="E3" s="59">
        <f t="shared" ref="E3:E63" si="0">B3*D3</f>
        <v>0</v>
      </c>
      <c r="F3" s="69">
        <v>0</v>
      </c>
      <c r="G3" s="59">
        <f t="shared" ref="G3:G23" si="1">B3*D3</f>
        <v>0</v>
      </c>
      <c r="L3" s="67" t="s">
        <v>581</v>
      </c>
      <c r="M3" s="62"/>
      <c r="N3" s="63"/>
      <c r="O3" s="58">
        <v>0</v>
      </c>
      <c r="P3" s="58"/>
      <c r="Q3" s="58"/>
      <c r="R3" s="58"/>
    </row>
    <row r="4" spans="1:18" ht="15.75" customHeight="1" x14ac:dyDescent="0.25">
      <c r="A4" s="68" t="s">
        <v>582</v>
      </c>
      <c r="B4" s="1">
        <v>0</v>
      </c>
      <c r="C4" s="69" t="s">
        <v>14</v>
      </c>
      <c r="D4" s="68">
        <v>97.9</v>
      </c>
      <c r="E4" s="59">
        <f t="shared" si="0"/>
        <v>0</v>
      </c>
      <c r="F4" s="69">
        <v>0</v>
      </c>
      <c r="G4" s="59">
        <f t="shared" si="1"/>
        <v>0</v>
      </c>
      <c r="L4" s="67" t="s">
        <v>583</v>
      </c>
      <c r="M4" s="62"/>
      <c r="N4" s="63"/>
      <c r="O4" s="58">
        <v>0</v>
      </c>
      <c r="P4" s="58"/>
      <c r="Q4" s="58"/>
      <c r="R4" s="58"/>
    </row>
    <row r="5" spans="1:18" ht="15.75" customHeight="1" x14ac:dyDescent="0.25">
      <c r="A5" s="68" t="s">
        <v>584</v>
      </c>
      <c r="B5" s="1">
        <v>0</v>
      </c>
      <c r="C5" s="69" t="s">
        <v>14</v>
      </c>
      <c r="D5" s="58">
        <v>89</v>
      </c>
      <c r="E5" s="59">
        <f t="shared" si="0"/>
        <v>0</v>
      </c>
      <c r="F5" s="69">
        <v>0</v>
      </c>
      <c r="G5" s="59">
        <f t="shared" si="1"/>
        <v>0</v>
      </c>
      <c r="L5" s="67" t="s">
        <v>585</v>
      </c>
      <c r="M5" s="62"/>
      <c r="N5" s="63"/>
      <c r="O5" s="58">
        <v>0</v>
      </c>
      <c r="P5" s="58"/>
      <c r="Q5" s="58"/>
      <c r="R5" s="58"/>
    </row>
    <row r="6" spans="1:18" ht="15.75" customHeight="1" x14ac:dyDescent="0.25">
      <c r="A6" s="68" t="s">
        <v>586</v>
      </c>
      <c r="B6" s="1">
        <v>0.9</v>
      </c>
      <c r="C6" s="69" t="s">
        <v>14</v>
      </c>
      <c r="D6" s="58">
        <v>98</v>
      </c>
      <c r="E6" s="59">
        <f t="shared" si="0"/>
        <v>88.2</v>
      </c>
      <c r="F6" s="69">
        <v>0</v>
      </c>
      <c r="G6" s="59">
        <f t="shared" si="1"/>
        <v>88.2</v>
      </c>
      <c r="L6" s="67" t="s">
        <v>587</v>
      </c>
      <c r="M6" s="62"/>
      <c r="N6" s="63"/>
      <c r="O6" s="58">
        <v>0</v>
      </c>
      <c r="P6" s="58"/>
      <c r="Q6" s="58"/>
      <c r="R6" s="58"/>
    </row>
    <row r="7" spans="1:18" ht="15.75" customHeight="1" x14ac:dyDescent="0.25">
      <c r="A7" s="68" t="s">
        <v>588</v>
      </c>
      <c r="B7" s="1">
        <v>0.8</v>
      </c>
      <c r="C7" s="69" t="s">
        <v>14</v>
      </c>
      <c r="D7" s="58">
        <v>26.81</v>
      </c>
      <c r="E7" s="59">
        <f>B7*D7</f>
        <v>21.448</v>
      </c>
      <c r="F7" s="69">
        <v>0</v>
      </c>
      <c r="G7" s="59">
        <f t="shared" si="1"/>
        <v>21.448</v>
      </c>
      <c r="L7" s="67" t="s">
        <v>589</v>
      </c>
      <c r="M7" s="62"/>
      <c r="N7" s="63"/>
      <c r="O7" s="58">
        <v>0</v>
      </c>
      <c r="P7" s="58"/>
      <c r="Q7" s="58"/>
      <c r="R7" s="58"/>
    </row>
    <row r="8" spans="1:18" ht="15.75" customHeight="1" x14ac:dyDescent="0.25">
      <c r="A8" s="68" t="s">
        <v>590</v>
      </c>
      <c r="B8" s="1">
        <v>20.8</v>
      </c>
      <c r="C8" s="69" t="s">
        <v>14</v>
      </c>
      <c r="D8" s="58">
        <v>43.93</v>
      </c>
      <c r="E8" s="59">
        <f t="shared" si="0"/>
        <v>913.74400000000003</v>
      </c>
      <c r="F8" s="69">
        <v>0</v>
      </c>
      <c r="G8" s="59">
        <f t="shared" si="1"/>
        <v>913.74400000000003</v>
      </c>
      <c r="L8" s="67" t="s">
        <v>591</v>
      </c>
      <c r="M8" s="62"/>
      <c r="N8" s="63"/>
      <c r="O8" s="58">
        <v>0</v>
      </c>
      <c r="P8" s="58"/>
      <c r="Q8" s="58"/>
      <c r="R8" s="58"/>
    </row>
    <row r="9" spans="1:18" ht="15.75" customHeight="1" x14ac:dyDescent="0.25">
      <c r="A9" s="68" t="s">
        <v>592</v>
      </c>
      <c r="B9" s="1">
        <v>1.9</v>
      </c>
      <c r="C9" s="69" t="s">
        <v>14</v>
      </c>
      <c r="D9" s="58">
        <v>17.350000000000001</v>
      </c>
      <c r="E9" s="59">
        <f t="shared" si="0"/>
        <v>32.965000000000003</v>
      </c>
      <c r="F9" s="69">
        <v>0</v>
      </c>
      <c r="G9" s="59">
        <f t="shared" si="1"/>
        <v>32.965000000000003</v>
      </c>
      <c r="L9" s="67" t="s">
        <v>593</v>
      </c>
      <c r="M9" s="62"/>
      <c r="N9" s="63"/>
      <c r="O9" s="58">
        <v>0</v>
      </c>
      <c r="P9" s="58"/>
      <c r="Q9" s="58"/>
      <c r="R9" s="58"/>
    </row>
    <row r="10" spans="1:18" ht="15.75" customHeight="1" x14ac:dyDescent="0.25">
      <c r="A10" s="68" t="s">
        <v>594</v>
      </c>
      <c r="B10" s="1">
        <v>22.9</v>
      </c>
      <c r="C10" s="69" t="s">
        <v>14</v>
      </c>
      <c r="D10" s="58">
        <v>47</v>
      </c>
      <c r="E10" s="59">
        <f>B10*D10</f>
        <v>1076.3</v>
      </c>
      <c r="F10" s="69">
        <v>0</v>
      </c>
      <c r="G10" s="59">
        <f t="shared" si="1"/>
        <v>1076.3</v>
      </c>
      <c r="L10" s="67" t="s">
        <v>595</v>
      </c>
      <c r="M10" s="62"/>
      <c r="N10" s="63"/>
      <c r="O10" s="58">
        <v>0</v>
      </c>
      <c r="P10" s="58"/>
      <c r="Q10" s="58"/>
      <c r="R10" s="58"/>
    </row>
    <row r="11" spans="1:18" ht="15.75" customHeight="1" x14ac:dyDescent="0.25">
      <c r="A11" s="68" t="s">
        <v>596</v>
      </c>
      <c r="B11" s="1">
        <v>0</v>
      </c>
      <c r="C11" s="69" t="s">
        <v>14</v>
      </c>
      <c r="D11" s="58">
        <v>16</v>
      </c>
      <c r="E11" s="59">
        <f t="shared" si="0"/>
        <v>0</v>
      </c>
      <c r="F11" s="69">
        <v>0</v>
      </c>
      <c r="G11" s="59">
        <f t="shared" si="1"/>
        <v>0</v>
      </c>
      <c r="L11" s="67"/>
      <c r="M11" s="62"/>
      <c r="N11" s="63"/>
      <c r="O11" s="58">
        <v>0</v>
      </c>
      <c r="P11" s="58"/>
      <c r="Q11" s="58"/>
      <c r="R11" s="58"/>
    </row>
    <row r="12" spans="1:18" ht="15.75" customHeight="1" x14ac:dyDescent="0.25">
      <c r="A12" s="68" t="s">
        <v>597</v>
      </c>
      <c r="B12" s="1">
        <v>0</v>
      </c>
      <c r="C12" s="69" t="s">
        <v>14</v>
      </c>
      <c r="D12" s="58">
        <v>43.92</v>
      </c>
      <c r="E12" s="59">
        <f t="shared" si="0"/>
        <v>0</v>
      </c>
      <c r="F12" s="69">
        <v>0</v>
      </c>
      <c r="G12" s="59">
        <f t="shared" si="1"/>
        <v>0</v>
      </c>
      <c r="L12" s="67"/>
      <c r="M12" s="62"/>
      <c r="N12" s="63"/>
      <c r="O12" s="58"/>
      <c r="P12" s="58"/>
      <c r="Q12" s="58"/>
      <c r="R12" s="58"/>
    </row>
    <row r="13" spans="1:18" ht="15.75" customHeight="1" x14ac:dyDescent="0.25">
      <c r="A13" s="68" t="s">
        <v>598</v>
      </c>
      <c r="B13" s="1">
        <v>0</v>
      </c>
      <c r="C13" s="69" t="s">
        <v>14</v>
      </c>
      <c r="D13" s="58">
        <v>152.9</v>
      </c>
      <c r="E13" s="59">
        <f t="shared" si="0"/>
        <v>0</v>
      </c>
      <c r="F13" s="69">
        <v>0</v>
      </c>
      <c r="G13" s="59">
        <f t="shared" si="1"/>
        <v>0</v>
      </c>
      <c r="L13" s="67"/>
      <c r="M13" s="62"/>
      <c r="N13" s="63"/>
      <c r="O13" s="58"/>
      <c r="P13" s="58"/>
      <c r="Q13" s="58"/>
      <c r="R13" s="58"/>
    </row>
    <row r="14" spans="1:18" ht="15.75" customHeight="1" x14ac:dyDescent="0.25">
      <c r="A14" s="68" t="s">
        <v>599</v>
      </c>
      <c r="B14" s="1">
        <v>0</v>
      </c>
      <c r="C14" s="69" t="s">
        <v>14</v>
      </c>
      <c r="D14" s="58">
        <v>7.9066999999999998</v>
      </c>
      <c r="E14" s="59">
        <f t="shared" si="0"/>
        <v>0</v>
      </c>
      <c r="F14" s="69">
        <v>0</v>
      </c>
      <c r="G14" s="59">
        <f t="shared" si="1"/>
        <v>0</v>
      </c>
    </row>
    <row r="15" spans="1:18" ht="15.75" customHeight="1" x14ac:dyDescent="0.25">
      <c r="A15" s="68" t="s">
        <v>600</v>
      </c>
      <c r="B15" s="1">
        <v>9.5</v>
      </c>
      <c r="C15" s="69" t="s">
        <v>14</v>
      </c>
      <c r="D15" s="58">
        <v>49.2</v>
      </c>
      <c r="E15" s="59">
        <f t="shared" si="0"/>
        <v>467.40000000000003</v>
      </c>
      <c r="F15" s="69">
        <v>0</v>
      </c>
      <c r="G15" s="59">
        <f t="shared" si="1"/>
        <v>467.40000000000003</v>
      </c>
    </row>
    <row r="16" spans="1:18" ht="15.75" customHeight="1" x14ac:dyDescent="0.25">
      <c r="A16" s="68" t="s">
        <v>837</v>
      </c>
      <c r="B16" s="1">
        <v>0.5</v>
      </c>
      <c r="C16" s="69" t="s">
        <v>14</v>
      </c>
      <c r="D16" s="58">
        <v>39.9</v>
      </c>
      <c r="E16" s="59">
        <f t="shared" si="0"/>
        <v>19.95</v>
      </c>
      <c r="F16" s="69">
        <v>0</v>
      </c>
      <c r="G16" s="59">
        <f t="shared" ref="G16" si="2">B16*D16</f>
        <v>19.95</v>
      </c>
    </row>
    <row r="17" spans="1:7" ht="15.75" customHeight="1" x14ac:dyDescent="0.25">
      <c r="A17" s="68" t="s">
        <v>601</v>
      </c>
      <c r="B17" s="1">
        <v>0</v>
      </c>
      <c r="C17" s="69" t="s">
        <v>14</v>
      </c>
      <c r="D17" s="58">
        <v>26.26</v>
      </c>
      <c r="E17" s="59">
        <f t="shared" si="0"/>
        <v>0</v>
      </c>
      <c r="F17" s="69">
        <v>0</v>
      </c>
      <c r="G17" s="59">
        <f t="shared" si="1"/>
        <v>0</v>
      </c>
    </row>
    <row r="18" spans="1:7" ht="15.75" customHeight="1" x14ac:dyDescent="0.25">
      <c r="A18" s="68" t="s">
        <v>602</v>
      </c>
      <c r="B18" s="1">
        <v>0</v>
      </c>
      <c r="C18" s="3" t="s">
        <v>14</v>
      </c>
      <c r="D18" s="58">
        <v>32</v>
      </c>
      <c r="E18" s="59">
        <f t="shared" si="0"/>
        <v>0</v>
      </c>
      <c r="F18" s="3">
        <v>0</v>
      </c>
      <c r="G18" s="3">
        <f t="shared" si="1"/>
        <v>0</v>
      </c>
    </row>
    <row r="19" spans="1:7" ht="15.75" customHeight="1" x14ac:dyDescent="0.25">
      <c r="A19" s="68" t="s">
        <v>603</v>
      </c>
      <c r="B19" s="1">
        <v>0</v>
      </c>
      <c r="C19" s="69" t="s">
        <v>14</v>
      </c>
      <c r="D19" s="58">
        <v>68.489999999999995</v>
      </c>
      <c r="E19" s="59">
        <f t="shared" si="0"/>
        <v>0</v>
      </c>
      <c r="F19" s="69">
        <v>0</v>
      </c>
      <c r="G19" s="59">
        <f t="shared" si="1"/>
        <v>0</v>
      </c>
    </row>
    <row r="20" spans="1:7" ht="15.75" customHeight="1" x14ac:dyDescent="0.25">
      <c r="A20" s="68" t="s">
        <v>946</v>
      </c>
      <c r="B20" s="1">
        <v>0</v>
      </c>
      <c r="C20" s="69" t="s">
        <v>14</v>
      </c>
      <c r="D20" s="58">
        <v>17.600000000000001</v>
      </c>
      <c r="E20" s="59">
        <f t="shared" si="0"/>
        <v>0</v>
      </c>
      <c r="F20" s="69">
        <v>0</v>
      </c>
      <c r="G20" s="59">
        <f t="shared" ref="G20" si="3">B20*D20</f>
        <v>0</v>
      </c>
    </row>
    <row r="21" spans="1:7" ht="15.75" customHeight="1" x14ac:dyDescent="0.25">
      <c r="A21" s="68" t="s">
        <v>604</v>
      </c>
      <c r="B21" s="1">
        <v>0</v>
      </c>
      <c r="C21" s="69" t="s">
        <v>14</v>
      </c>
      <c r="D21" s="58">
        <v>54.9</v>
      </c>
      <c r="E21" s="59">
        <f t="shared" si="0"/>
        <v>0</v>
      </c>
      <c r="F21" s="69">
        <v>0</v>
      </c>
      <c r="G21" s="59">
        <f t="shared" si="1"/>
        <v>0</v>
      </c>
    </row>
    <row r="22" spans="1:7" ht="15.75" customHeight="1" x14ac:dyDescent="0.25">
      <c r="A22" s="68" t="s">
        <v>605</v>
      </c>
      <c r="B22" s="1">
        <v>0.5</v>
      </c>
      <c r="C22" s="69" t="s">
        <v>14</v>
      </c>
      <c r="D22" s="58">
        <v>54.9</v>
      </c>
      <c r="E22" s="59">
        <f t="shared" si="0"/>
        <v>27.45</v>
      </c>
      <c r="F22" s="69">
        <v>0</v>
      </c>
      <c r="G22" s="59">
        <f t="shared" si="1"/>
        <v>27.45</v>
      </c>
    </row>
    <row r="23" spans="1:7" ht="15.75" customHeight="1" x14ac:dyDescent="0.25">
      <c r="A23" s="68" t="s">
        <v>606</v>
      </c>
      <c r="B23" s="1">
        <v>1</v>
      </c>
      <c r="C23" s="69" t="s">
        <v>14</v>
      </c>
      <c r="D23" s="58">
        <v>54.9</v>
      </c>
      <c r="E23" s="59">
        <f t="shared" si="0"/>
        <v>54.9</v>
      </c>
      <c r="F23" s="69">
        <v>0</v>
      </c>
      <c r="G23" s="59">
        <f t="shared" si="1"/>
        <v>54.9</v>
      </c>
    </row>
    <row r="24" spans="1:7" ht="15.75" customHeight="1" x14ac:dyDescent="0.25">
      <c r="A24" s="68" t="s">
        <v>607</v>
      </c>
      <c r="B24" s="1">
        <v>4</v>
      </c>
      <c r="C24" s="69" t="s">
        <v>14</v>
      </c>
      <c r="D24" s="58">
        <v>54.9</v>
      </c>
      <c r="E24" s="59">
        <f t="shared" si="0"/>
        <v>219.6</v>
      </c>
      <c r="F24" s="69"/>
      <c r="G24" s="59"/>
    </row>
    <row r="25" spans="1:7" ht="15.75" customHeight="1" x14ac:dyDescent="0.25">
      <c r="A25" s="68" t="s">
        <v>608</v>
      </c>
      <c r="B25" s="1">
        <v>17</v>
      </c>
      <c r="C25" s="69" t="s">
        <v>14</v>
      </c>
      <c r="D25" s="58">
        <v>54.9</v>
      </c>
      <c r="E25" s="59">
        <f>B25*D25</f>
        <v>933.3</v>
      </c>
      <c r="F25" s="69">
        <v>0</v>
      </c>
      <c r="G25" s="59">
        <f t="shared" ref="G25:G48" si="4">B25*D25</f>
        <v>933.3</v>
      </c>
    </row>
    <row r="26" spans="1:7" ht="15.75" customHeight="1" x14ac:dyDescent="0.25">
      <c r="A26" s="68" t="s">
        <v>609</v>
      </c>
      <c r="B26" s="1">
        <v>0</v>
      </c>
      <c r="C26" s="69" t="s">
        <v>14</v>
      </c>
      <c r="D26" s="58">
        <v>41.103299999999997</v>
      </c>
      <c r="E26" s="59">
        <f t="shared" si="0"/>
        <v>0</v>
      </c>
      <c r="F26" s="69">
        <v>0</v>
      </c>
      <c r="G26" s="59">
        <f t="shared" si="4"/>
        <v>0</v>
      </c>
    </row>
    <row r="27" spans="1:7" ht="15.75" customHeight="1" x14ac:dyDescent="0.25">
      <c r="A27" s="68" t="s">
        <v>610</v>
      </c>
      <c r="B27" s="1">
        <v>0</v>
      </c>
      <c r="C27" s="69" t="s">
        <v>14</v>
      </c>
      <c r="D27" s="58">
        <v>46.15</v>
      </c>
      <c r="E27" s="59">
        <f t="shared" si="0"/>
        <v>0</v>
      </c>
      <c r="F27" s="69">
        <v>0</v>
      </c>
      <c r="G27" s="59">
        <f t="shared" si="4"/>
        <v>0</v>
      </c>
    </row>
    <row r="28" spans="1:7" ht="15.75" customHeight="1" x14ac:dyDescent="0.25">
      <c r="A28" s="68" t="s">
        <v>611</v>
      </c>
      <c r="B28" s="1">
        <v>0</v>
      </c>
      <c r="C28" s="69" t="s">
        <v>14</v>
      </c>
      <c r="D28" s="58">
        <v>38.479999999999997</v>
      </c>
      <c r="E28" s="59">
        <f t="shared" si="0"/>
        <v>0</v>
      </c>
      <c r="F28" s="69">
        <v>0</v>
      </c>
      <c r="G28" s="59">
        <f t="shared" si="4"/>
        <v>0</v>
      </c>
    </row>
    <row r="29" spans="1:7" ht="15.75" customHeight="1" x14ac:dyDescent="0.25">
      <c r="A29" s="68" t="s">
        <v>612</v>
      </c>
      <c r="B29" s="1">
        <v>0</v>
      </c>
      <c r="C29" s="69" t="s">
        <v>14</v>
      </c>
      <c r="D29" s="58">
        <v>36.22</v>
      </c>
      <c r="E29" s="59">
        <f t="shared" si="0"/>
        <v>0</v>
      </c>
      <c r="F29" s="69">
        <v>0</v>
      </c>
      <c r="G29" s="59">
        <f t="shared" si="4"/>
        <v>0</v>
      </c>
    </row>
    <row r="30" spans="1:7" ht="15.75" customHeight="1" x14ac:dyDescent="0.25">
      <c r="A30" s="68" t="s">
        <v>613</v>
      </c>
      <c r="B30" s="1">
        <v>0</v>
      </c>
      <c r="C30" s="69" t="s">
        <v>14</v>
      </c>
      <c r="D30" s="58">
        <v>94.4</v>
      </c>
      <c r="E30" s="59">
        <f t="shared" si="0"/>
        <v>0</v>
      </c>
      <c r="F30" s="69">
        <v>0</v>
      </c>
      <c r="G30" s="59">
        <f t="shared" si="4"/>
        <v>0</v>
      </c>
    </row>
    <row r="31" spans="1:7" ht="15.75" customHeight="1" x14ac:dyDescent="0.25">
      <c r="A31" s="68" t="s">
        <v>614</v>
      </c>
      <c r="B31" s="1">
        <v>0</v>
      </c>
      <c r="C31" s="69" t="s">
        <v>14</v>
      </c>
      <c r="D31" s="58">
        <v>65.88</v>
      </c>
      <c r="E31" s="59">
        <f t="shared" si="0"/>
        <v>0</v>
      </c>
      <c r="F31" s="69">
        <v>0</v>
      </c>
      <c r="G31" s="59">
        <f t="shared" si="4"/>
        <v>0</v>
      </c>
    </row>
    <row r="32" spans="1:7" ht="15.75" customHeight="1" x14ac:dyDescent="0.25">
      <c r="A32" s="68" t="s">
        <v>615</v>
      </c>
      <c r="B32" s="1">
        <v>0</v>
      </c>
      <c r="C32" s="69" t="s">
        <v>14</v>
      </c>
      <c r="D32" s="58">
        <v>62.61</v>
      </c>
      <c r="E32" s="59">
        <f t="shared" si="0"/>
        <v>0</v>
      </c>
      <c r="F32" s="69">
        <v>0</v>
      </c>
      <c r="G32" s="59">
        <f t="shared" si="4"/>
        <v>0</v>
      </c>
    </row>
    <row r="33" spans="1:7" ht="15.75" customHeight="1" x14ac:dyDescent="0.25">
      <c r="A33" s="68" t="s">
        <v>616</v>
      </c>
      <c r="B33" s="1">
        <v>1.7</v>
      </c>
      <c r="C33" s="69" t="s">
        <v>14</v>
      </c>
      <c r="D33" s="58">
        <v>34.99</v>
      </c>
      <c r="E33" s="59">
        <f t="shared" si="0"/>
        <v>59.483000000000004</v>
      </c>
      <c r="F33" s="69">
        <v>0</v>
      </c>
      <c r="G33" s="59">
        <f t="shared" si="4"/>
        <v>59.483000000000004</v>
      </c>
    </row>
    <row r="34" spans="1:7" ht="15.75" customHeight="1" x14ac:dyDescent="0.25">
      <c r="A34" s="68" t="s">
        <v>617</v>
      </c>
      <c r="B34" s="1">
        <v>81</v>
      </c>
      <c r="C34" s="69" t="s">
        <v>14</v>
      </c>
      <c r="D34" s="58">
        <v>25</v>
      </c>
      <c r="E34" s="59">
        <f t="shared" si="0"/>
        <v>2025</v>
      </c>
      <c r="F34" s="69">
        <v>0</v>
      </c>
      <c r="G34" s="59">
        <f t="shared" si="4"/>
        <v>2025</v>
      </c>
    </row>
    <row r="35" spans="1:7" ht="15.75" customHeight="1" x14ac:dyDescent="0.25">
      <c r="A35" s="68" t="s">
        <v>618</v>
      </c>
      <c r="B35" s="1">
        <v>0</v>
      </c>
      <c r="C35" s="69" t="s">
        <v>14</v>
      </c>
      <c r="D35" s="58">
        <v>31.61</v>
      </c>
      <c r="E35" s="59">
        <f t="shared" si="0"/>
        <v>0</v>
      </c>
      <c r="F35" s="69">
        <v>0</v>
      </c>
      <c r="G35" s="59">
        <f t="shared" si="4"/>
        <v>0</v>
      </c>
    </row>
    <row r="36" spans="1:7" ht="15.75" customHeight="1" x14ac:dyDescent="0.25">
      <c r="A36" s="68" t="s">
        <v>890</v>
      </c>
      <c r="B36" s="1">
        <v>0</v>
      </c>
      <c r="C36" s="69" t="s">
        <v>14</v>
      </c>
      <c r="D36" s="58">
        <v>81.900000000000006</v>
      </c>
      <c r="E36" s="59">
        <f t="shared" si="0"/>
        <v>0</v>
      </c>
      <c r="F36" s="69">
        <v>0</v>
      </c>
      <c r="G36" s="59">
        <f t="shared" si="4"/>
        <v>0</v>
      </c>
    </row>
    <row r="37" spans="1:7" ht="15.75" customHeight="1" x14ac:dyDescent="0.25">
      <c r="A37" s="68" t="s">
        <v>891</v>
      </c>
      <c r="B37" s="1">
        <v>0</v>
      </c>
      <c r="C37" s="69" t="s">
        <v>14</v>
      </c>
      <c r="D37" s="58">
        <v>81.900000000000006</v>
      </c>
      <c r="E37" s="59">
        <f t="shared" si="0"/>
        <v>0</v>
      </c>
      <c r="F37" s="69">
        <v>0</v>
      </c>
      <c r="G37" s="59">
        <f t="shared" si="4"/>
        <v>0</v>
      </c>
    </row>
    <row r="38" spans="1:7" ht="15.75" customHeight="1" x14ac:dyDescent="0.25">
      <c r="A38" s="68" t="s">
        <v>619</v>
      </c>
      <c r="B38" s="1">
        <v>0</v>
      </c>
      <c r="C38" s="69" t="s">
        <v>14</v>
      </c>
      <c r="D38" s="58">
        <v>28.5</v>
      </c>
      <c r="E38" s="59">
        <f t="shared" si="0"/>
        <v>0</v>
      </c>
      <c r="F38" s="69">
        <v>0</v>
      </c>
      <c r="G38" s="59">
        <f t="shared" si="4"/>
        <v>0</v>
      </c>
    </row>
    <row r="39" spans="1:7" ht="15.75" customHeight="1" x14ac:dyDescent="0.25">
      <c r="A39" s="68" t="s">
        <v>927</v>
      </c>
      <c r="B39" s="1">
        <v>12.3</v>
      </c>
      <c r="C39" s="69" t="s">
        <v>14</v>
      </c>
      <c r="D39" s="58">
        <v>35</v>
      </c>
      <c r="E39" s="59">
        <f t="shared" si="0"/>
        <v>430.5</v>
      </c>
      <c r="F39" s="69">
        <v>0</v>
      </c>
      <c r="G39" s="59">
        <f t="shared" si="4"/>
        <v>430.5</v>
      </c>
    </row>
    <row r="40" spans="1:7" ht="15.75" customHeight="1" x14ac:dyDescent="0.25">
      <c r="A40" s="68" t="s">
        <v>620</v>
      </c>
      <c r="B40" s="1">
        <v>2.1</v>
      </c>
      <c r="C40" s="69" t="s">
        <v>14</v>
      </c>
      <c r="D40" s="58">
        <v>11.9</v>
      </c>
      <c r="E40" s="59">
        <f t="shared" si="0"/>
        <v>24.990000000000002</v>
      </c>
      <c r="F40" s="69">
        <v>0</v>
      </c>
      <c r="G40" s="59">
        <f t="shared" si="4"/>
        <v>24.990000000000002</v>
      </c>
    </row>
    <row r="41" spans="1:7" ht="15.75" customHeight="1" x14ac:dyDescent="0.25">
      <c r="A41" s="68" t="s">
        <v>621</v>
      </c>
      <c r="B41" s="1">
        <v>0</v>
      </c>
      <c r="C41" s="69" t="s">
        <v>14</v>
      </c>
      <c r="D41" s="58">
        <v>31</v>
      </c>
      <c r="E41" s="59">
        <f t="shared" si="0"/>
        <v>0</v>
      </c>
      <c r="F41" s="69">
        <v>0</v>
      </c>
      <c r="G41" s="59">
        <f t="shared" si="4"/>
        <v>0</v>
      </c>
    </row>
    <row r="42" spans="1:7" ht="15.75" customHeight="1" x14ac:dyDescent="0.25">
      <c r="A42" s="68" t="s">
        <v>622</v>
      </c>
      <c r="B42" s="1">
        <v>0</v>
      </c>
      <c r="C42" s="69" t="s">
        <v>14</v>
      </c>
      <c r="D42" s="58">
        <v>22.9</v>
      </c>
      <c r="E42" s="59">
        <f t="shared" si="0"/>
        <v>0</v>
      </c>
      <c r="F42" s="69">
        <v>0</v>
      </c>
      <c r="G42" s="59">
        <f t="shared" si="4"/>
        <v>0</v>
      </c>
    </row>
    <row r="43" spans="1:7" ht="15.75" customHeight="1" x14ac:dyDescent="0.25">
      <c r="A43" s="68" t="s">
        <v>623</v>
      </c>
      <c r="B43" s="1">
        <v>0</v>
      </c>
      <c r="C43" s="69" t="s">
        <v>14</v>
      </c>
      <c r="D43" s="58">
        <v>54.4</v>
      </c>
      <c r="E43" s="59">
        <f t="shared" si="0"/>
        <v>0</v>
      </c>
      <c r="F43" s="69">
        <v>0</v>
      </c>
      <c r="G43" s="59">
        <f t="shared" si="4"/>
        <v>0</v>
      </c>
    </row>
    <row r="44" spans="1:7" ht="15.75" customHeight="1" x14ac:dyDescent="0.25">
      <c r="A44" s="68" t="s">
        <v>624</v>
      </c>
      <c r="B44" s="1">
        <v>0</v>
      </c>
      <c r="C44" s="69" t="s">
        <v>14</v>
      </c>
      <c r="D44" s="58">
        <v>73.5</v>
      </c>
      <c r="E44" s="59">
        <f t="shared" si="0"/>
        <v>0</v>
      </c>
      <c r="F44" s="69">
        <v>0</v>
      </c>
      <c r="G44" s="59">
        <f t="shared" si="4"/>
        <v>0</v>
      </c>
    </row>
    <row r="45" spans="1:7" ht="15.75" customHeight="1" x14ac:dyDescent="0.25">
      <c r="A45" s="68" t="s">
        <v>625</v>
      </c>
      <c r="B45" s="1">
        <v>0</v>
      </c>
      <c r="C45" s="69" t="s">
        <v>14</v>
      </c>
      <c r="D45" s="58">
        <v>34.9</v>
      </c>
      <c r="E45" s="59">
        <f t="shared" si="0"/>
        <v>0</v>
      </c>
      <c r="F45" s="69">
        <v>0</v>
      </c>
      <c r="G45" s="59">
        <f t="shared" si="4"/>
        <v>0</v>
      </c>
    </row>
    <row r="46" spans="1:7" ht="15.75" customHeight="1" x14ac:dyDescent="0.25">
      <c r="A46" s="68" t="s">
        <v>626</v>
      </c>
      <c r="B46" s="1">
        <v>0</v>
      </c>
      <c r="C46" s="69" t="s">
        <v>14</v>
      </c>
      <c r="D46" s="58">
        <v>13.06</v>
      </c>
      <c r="E46" s="59">
        <f t="shared" si="0"/>
        <v>0</v>
      </c>
      <c r="F46" s="69">
        <v>0</v>
      </c>
      <c r="G46" s="59">
        <f t="shared" si="4"/>
        <v>0</v>
      </c>
    </row>
    <row r="47" spans="1:7" ht="15.75" customHeight="1" x14ac:dyDescent="0.25">
      <c r="A47" s="68" t="s">
        <v>627</v>
      </c>
      <c r="B47" s="1">
        <v>1.5</v>
      </c>
      <c r="C47" s="69" t="s">
        <v>14</v>
      </c>
      <c r="D47" s="58">
        <v>20.9</v>
      </c>
      <c r="E47" s="59">
        <f t="shared" si="0"/>
        <v>31.349999999999998</v>
      </c>
      <c r="F47" s="69">
        <v>0</v>
      </c>
      <c r="G47" s="59">
        <f t="shared" si="4"/>
        <v>31.349999999999998</v>
      </c>
    </row>
    <row r="48" spans="1:7" ht="15.75" customHeight="1" x14ac:dyDescent="0.25">
      <c r="A48" s="68" t="s">
        <v>628</v>
      </c>
      <c r="B48" s="1">
        <v>545</v>
      </c>
      <c r="C48" s="69" t="s">
        <v>14</v>
      </c>
      <c r="D48" s="58">
        <v>6.68</v>
      </c>
      <c r="E48" s="59">
        <f t="shared" si="0"/>
        <v>3640.6</v>
      </c>
      <c r="F48" s="69">
        <v>0</v>
      </c>
      <c r="G48" s="59">
        <f t="shared" si="4"/>
        <v>3640.6</v>
      </c>
    </row>
    <row r="49" spans="1:9" ht="15.75" customHeight="1" x14ac:dyDescent="0.25">
      <c r="A49" s="68" t="s">
        <v>629</v>
      </c>
      <c r="B49" s="1">
        <v>438</v>
      </c>
      <c r="C49" s="3" t="s">
        <v>14</v>
      </c>
      <c r="D49" s="58">
        <v>6.36</v>
      </c>
      <c r="E49" s="59">
        <f>B49*D49</f>
        <v>2785.6800000000003</v>
      </c>
      <c r="F49" s="3"/>
      <c r="G49" s="3"/>
      <c r="H49" s="60"/>
      <c r="I49" s="60"/>
    </row>
    <row r="50" spans="1:9" ht="15.75" customHeight="1" x14ac:dyDescent="0.25">
      <c r="A50" s="68" t="s">
        <v>630</v>
      </c>
      <c r="B50" s="1">
        <v>0</v>
      </c>
      <c r="C50" s="69" t="s">
        <v>14</v>
      </c>
      <c r="D50" s="58">
        <v>3.29</v>
      </c>
      <c r="E50" s="59">
        <f t="shared" si="0"/>
        <v>0</v>
      </c>
      <c r="F50" s="69">
        <v>0</v>
      </c>
      <c r="G50" s="59">
        <f t="shared" ref="G50:G197" si="5">B50*D50</f>
        <v>0</v>
      </c>
    </row>
    <row r="51" spans="1:9" ht="15.75" customHeight="1" x14ac:dyDescent="0.25">
      <c r="A51" s="68" t="s">
        <v>631</v>
      </c>
      <c r="B51" s="1">
        <v>3</v>
      </c>
      <c r="C51" s="69" t="s">
        <v>14</v>
      </c>
      <c r="D51" s="58">
        <v>122.75</v>
      </c>
      <c r="E51" s="59">
        <f t="shared" si="0"/>
        <v>368.25</v>
      </c>
      <c r="F51" s="69">
        <v>0</v>
      </c>
      <c r="G51" s="59">
        <f t="shared" si="5"/>
        <v>368.25</v>
      </c>
    </row>
    <row r="52" spans="1:9" ht="15.75" customHeight="1" x14ac:dyDescent="0.25">
      <c r="A52" s="68" t="s">
        <v>632</v>
      </c>
      <c r="B52" s="1">
        <v>0</v>
      </c>
      <c r="C52" s="69" t="s">
        <v>14</v>
      </c>
      <c r="D52" s="58">
        <v>4.8899999999999997</v>
      </c>
      <c r="E52" s="59">
        <f t="shared" si="0"/>
        <v>0</v>
      </c>
      <c r="F52" s="69">
        <v>0</v>
      </c>
      <c r="G52" s="59">
        <f t="shared" si="5"/>
        <v>0</v>
      </c>
    </row>
    <row r="53" spans="1:9" ht="15.75" customHeight="1" x14ac:dyDescent="0.25">
      <c r="A53" s="68" t="s">
        <v>633</v>
      </c>
      <c r="B53" s="1">
        <v>0</v>
      </c>
      <c r="C53" s="69" t="s">
        <v>14</v>
      </c>
      <c r="D53" s="58">
        <v>2.9358</v>
      </c>
      <c r="E53" s="59">
        <f t="shared" si="0"/>
        <v>0</v>
      </c>
      <c r="F53" s="69">
        <v>0</v>
      </c>
      <c r="G53" s="59">
        <f t="shared" si="5"/>
        <v>0</v>
      </c>
    </row>
    <row r="54" spans="1:9" ht="15.75" customHeight="1" x14ac:dyDescent="0.25">
      <c r="A54" s="68" t="s">
        <v>634</v>
      </c>
      <c r="B54" s="1">
        <v>0</v>
      </c>
      <c r="C54" s="69" t="s">
        <v>14</v>
      </c>
      <c r="D54" s="58">
        <v>3.58</v>
      </c>
      <c r="E54" s="59">
        <f t="shared" si="0"/>
        <v>0</v>
      </c>
      <c r="F54" s="69">
        <v>0</v>
      </c>
      <c r="G54" s="59">
        <f t="shared" si="5"/>
        <v>0</v>
      </c>
    </row>
    <row r="55" spans="1:9" ht="15.75" customHeight="1" x14ac:dyDescent="0.25">
      <c r="A55" s="68" t="s">
        <v>635</v>
      </c>
      <c r="B55" s="1">
        <v>0</v>
      </c>
      <c r="C55" s="69" t="s">
        <v>14</v>
      </c>
      <c r="D55" s="58">
        <v>4.1246999999999998</v>
      </c>
      <c r="E55" s="59">
        <f t="shared" si="0"/>
        <v>0</v>
      </c>
      <c r="F55" s="69">
        <v>0</v>
      </c>
      <c r="G55" s="59">
        <f t="shared" si="5"/>
        <v>0</v>
      </c>
    </row>
    <row r="56" spans="1:9" ht="15.75" customHeight="1" x14ac:dyDescent="0.25">
      <c r="A56" s="68" t="s">
        <v>920</v>
      </c>
      <c r="B56" s="1">
        <v>47</v>
      </c>
      <c r="C56" s="69" t="s">
        <v>14</v>
      </c>
      <c r="D56" s="58">
        <v>6.34</v>
      </c>
      <c r="E56" s="59">
        <f t="shared" si="0"/>
        <v>297.98</v>
      </c>
      <c r="F56" s="69">
        <v>0</v>
      </c>
      <c r="G56" s="59">
        <f t="shared" si="5"/>
        <v>297.98</v>
      </c>
    </row>
    <row r="57" spans="1:9" ht="15.75" customHeight="1" x14ac:dyDescent="0.25">
      <c r="A57" s="68" t="s">
        <v>636</v>
      </c>
      <c r="B57" s="1">
        <v>8</v>
      </c>
      <c r="C57" s="69" t="s">
        <v>14</v>
      </c>
      <c r="D57" s="58">
        <v>3.48</v>
      </c>
      <c r="E57" s="59">
        <f t="shared" si="0"/>
        <v>27.84</v>
      </c>
      <c r="F57" s="69">
        <v>0</v>
      </c>
      <c r="G57" s="59">
        <f t="shared" si="5"/>
        <v>27.84</v>
      </c>
    </row>
    <row r="58" spans="1:9" ht="15.75" customHeight="1" x14ac:dyDescent="0.25">
      <c r="A58" s="58" t="s">
        <v>637</v>
      </c>
      <c r="B58" s="1">
        <v>76</v>
      </c>
      <c r="C58" s="59" t="s">
        <v>14</v>
      </c>
      <c r="D58" s="58">
        <v>6.49</v>
      </c>
      <c r="E58" s="59">
        <f t="shared" si="0"/>
        <v>493.24</v>
      </c>
      <c r="F58" s="59">
        <v>0</v>
      </c>
      <c r="G58" s="59">
        <f t="shared" si="5"/>
        <v>493.24</v>
      </c>
    </row>
    <row r="59" spans="1:9" ht="15.75" customHeight="1" x14ac:dyDescent="0.25">
      <c r="A59" s="58" t="s">
        <v>921</v>
      </c>
      <c r="B59" s="1">
        <v>0</v>
      </c>
      <c r="C59" s="59" t="s">
        <v>14</v>
      </c>
      <c r="D59" s="58">
        <v>6.38</v>
      </c>
      <c r="E59" s="59">
        <f t="shared" ref="E59" si="6">B59*D59</f>
        <v>0</v>
      </c>
      <c r="F59" s="59">
        <v>0</v>
      </c>
      <c r="G59" s="59">
        <f t="shared" ref="G59" si="7">B59*D59</f>
        <v>0</v>
      </c>
    </row>
    <row r="60" spans="1:9" ht="15.75" customHeight="1" x14ac:dyDescent="0.25">
      <c r="A60" s="68" t="s">
        <v>638</v>
      </c>
      <c r="B60" s="1">
        <v>0</v>
      </c>
      <c r="C60" s="59" t="s">
        <v>14</v>
      </c>
      <c r="D60" s="58">
        <v>5.88</v>
      </c>
      <c r="E60" s="59">
        <f t="shared" si="0"/>
        <v>0</v>
      </c>
      <c r="F60" s="59">
        <v>0</v>
      </c>
      <c r="G60" s="59">
        <f t="shared" si="5"/>
        <v>0</v>
      </c>
    </row>
    <row r="61" spans="1:9" ht="15.75" customHeight="1" x14ac:dyDescent="0.25">
      <c r="A61" s="58" t="s">
        <v>948</v>
      </c>
      <c r="B61" s="1">
        <v>0</v>
      </c>
      <c r="C61" s="59" t="s">
        <v>14</v>
      </c>
      <c r="D61" s="58">
        <v>9.17</v>
      </c>
      <c r="E61" s="59">
        <f t="shared" si="0"/>
        <v>0</v>
      </c>
      <c r="F61" s="59">
        <v>0</v>
      </c>
      <c r="G61" s="59">
        <f t="shared" si="5"/>
        <v>0</v>
      </c>
    </row>
    <row r="62" spans="1:9" ht="15.75" customHeight="1" x14ac:dyDescent="0.25">
      <c r="A62" s="58" t="s">
        <v>639</v>
      </c>
      <c r="B62" s="1">
        <v>246</v>
      </c>
      <c r="C62" s="59" t="s">
        <v>14</v>
      </c>
      <c r="D62" s="58">
        <v>7.76</v>
      </c>
      <c r="E62" s="59">
        <f t="shared" si="0"/>
        <v>1908.96</v>
      </c>
      <c r="F62" s="59">
        <v>0</v>
      </c>
      <c r="G62" s="59">
        <f t="shared" si="5"/>
        <v>1908.96</v>
      </c>
    </row>
    <row r="63" spans="1:9" ht="15.75" customHeight="1" x14ac:dyDescent="0.25">
      <c r="A63" s="58" t="s">
        <v>640</v>
      </c>
      <c r="B63" s="1">
        <v>235</v>
      </c>
      <c r="C63" s="59" t="s">
        <v>14</v>
      </c>
      <c r="D63" s="58">
        <v>5.55</v>
      </c>
      <c r="E63" s="59">
        <f t="shared" si="0"/>
        <v>1304.25</v>
      </c>
      <c r="F63" s="59">
        <v>0</v>
      </c>
      <c r="G63" s="59">
        <f t="shared" si="5"/>
        <v>1304.25</v>
      </c>
    </row>
    <row r="64" spans="1:9" ht="15.75" customHeight="1" x14ac:dyDescent="0.25">
      <c r="A64" s="58" t="s">
        <v>922</v>
      </c>
      <c r="B64" s="1">
        <v>0</v>
      </c>
      <c r="C64" s="59" t="s">
        <v>14</v>
      </c>
      <c r="D64" s="58">
        <v>6.16</v>
      </c>
      <c r="E64" s="59">
        <f t="shared" ref="E64" si="8">B64*D64</f>
        <v>0</v>
      </c>
      <c r="F64" s="59">
        <v>0</v>
      </c>
      <c r="G64" s="59">
        <f t="shared" ref="G64" si="9">B64*D64</f>
        <v>0</v>
      </c>
    </row>
    <row r="65" spans="1:7" ht="15.75" customHeight="1" x14ac:dyDescent="0.25">
      <c r="A65" s="58" t="s">
        <v>641</v>
      </c>
      <c r="B65" s="1">
        <v>534</v>
      </c>
      <c r="C65" s="59" t="s">
        <v>14</v>
      </c>
      <c r="D65" s="58">
        <v>9.2200000000000006</v>
      </c>
      <c r="E65" s="59">
        <f t="shared" ref="E65:E134" si="10">B65*D65</f>
        <v>4923.4800000000005</v>
      </c>
      <c r="F65" s="59">
        <v>0</v>
      </c>
      <c r="G65" s="59">
        <f t="shared" si="5"/>
        <v>4923.4800000000005</v>
      </c>
    </row>
    <row r="66" spans="1:7" ht="15.75" customHeight="1" x14ac:dyDescent="0.25">
      <c r="A66" s="58" t="s">
        <v>642</v>
      </c>
      <c r="B66" s="1">
        <v>82</v>
      </c>
      <c r="C66" s="59" t="s">
        <v>14</v>
      </c>
      <c r="D66" s="70">
        <v>6.2</v>
      </c>
      <c r="E66" s="59">
        <f t="shared" si="10"/>
        <v>508.40000000000003</v>
      </c>
      <c r="F66" s="59">
        <v>0</v>
      </c>
      <c r="G66" s="59">
        <f t="shared" si="5"/>
        <v>508.40000000000003</v>
      </c>
    </row>
    <row r="67" spans="1:7" ht="15.75" customHeight="1" x14ac:dyDescent="0.25">
      <c r="A67" s="58" t="s">
        <v>643</v>
      </c>
      <c r="B67" s="1">
        <v>80</v>
      </c>
      <c r="C67" s="59" t="s">
        <v>14</v>
      </c>
      <c r="D67" s="70">
        <v>6.2</v>
      </c>
      <c r="E67" s="59">
        <f t="shared" si="10"/>
        <v>496</v>
      </c>
      <c r="F67" s="59">
        <v>0</v>
      </c>
      <c r="G67" s="59">
        <f t="shared" si="5"/>
        <v>496</v>
      </c>
    </row>
    <row r="68" spans="1:7" ht="15.75" customHeight="1" x14ac:dyDescent="0.25">
      <c r="A68" s="58" t="s">
        <v>955</v>
      </c>
      <c r="B68" s="1">
        <v>0</v>
      </c>
      <c r="C68" s="59" t="s">
        <v>14</v>
      </c>
      <c r="D68" s="70">
        <v>6.23</v>
      </c>
      <c r="E68" s="59">
        <f t="shared" si="10"/>
        <v>0</v>
      </c>
      <c r="F68" s="59"/>
      <c r="G68" s="59">
        <f t="shared" si="5"/>
        <v>0</v>
      </c>
    </row>
    <row r="69" spans="1:7" ht="15.75" customHeight="1" x14ac:dyDescent="0.25">
      <c r="A69" s="58" t="s">
        <v>644</v>
      </c>
      <c r="B69" s="1">
        <v>0</v>
      </c>
      <c r="C69" s="59" t="s">
        <v>14</v>
      </c>
      <c r="D69" s="58">
        <v>299.66000000000003</v>
      </c>
      <c r="E69" s="59">
        <f t="shared" si="10"/>
        <v>0</v>
      </c>
      <c r="F69" s="59">
        <v>0</v>
      </c>
      <c r="G69" s="59">
        <f t="shared" si="5"/>
        <v>0</v>
      </c>
    </row>
    <row r="70" spans="1:7" ht="15.75" customHeight="1" x14ac:dyDescent="0.25">
      <c r="A70" s="58" t="s">
        <v>645</v>
      </c>
      <c r="B70" s="1">
        <v>0</v>
      </c>
      <c r="C70" s="59" t="s">
        <v>14</v>
      </c>
      <c r="D70" s="58">
        <v>289.89999999999998</v>
      </c>
      <c r="E70" s="59">
        <f t="shared" si="10"/>
        <v>0</v>
      </c>
      <c r="F70" s="59">
        <v>0</v>
      </c>
      <c r="G70" s="59">
        <f t="shared" si="5"/>
        <v>0</v>
      </c>
    </row>
    <row r="71" spans="1:7" ht="15.75" customHeight="1" x14ac:dyDescent="0.25">
      <c r="A71" s="58" t="s">
        <v>646</v>
      </c>
      <c r="B71" s="1">
        <v>1.5</v>
      </c>
      <c r="C71" s="59" t="s">
        <v>14</v>
      </c>
      <c r="D71" s="58">
        <v>31.02</v>
      </c>
      <c r="E71" s="59">
        <f t="shared" si="10"/>
        <v>46.53</v>
      </c>
      <c r="F71" s="59">
        <v>0</v>
      </c>
      <c r="G71" s="59">
        <f t="shared" si="5"/>
        <v>46.53</v>
      </c>
    </row>
    <row r="72" spans="1:7" ht="15.75" customHeight="1" x14ac:dyDescent="0.25">
      <c r="A72" s="58" t="s">
        <v>647</v>
      </c>
      <c r="B72" s="1">
        <v>0</v>
      </c>
      <c r="C72" s="59" t="s">
        <v>14</v>
      </c>
      <c r="D72" s="58">
        <v>0</v>
      </c>
      <c r="E72" s="59">
        <f t="shared" si="10"/>
        <v>0</v>
      </c>
      <c r="F72" s="59">
        <v>0</v>
      </c>
      <c r="G72" s="59">
        <f t="shared" si="5"/>
        <v>0</v>
      </c>
    </row>
    <row r="73" spans="1:7" ht="15.75" customHeight="1" x14ac:dyDescent="0.25">
      <c r="A73" s="58" t="s">
        <v>648</v>
      </c>
      <c r="B73" s="1">
        <v>0</v>
      </c>
      <c r="C73" s="59" t="s">
        <v>14</v>
      </c>
      <c r="D73" s="58">
        <v>289.89999999999998</v>
      </c>
      <c r="E73" s="59">
        <f t="shared" si="10"/>
        <v>0</v>
      </c>
      <c r="F73" s="59">
        <v>0</v>
      </c>
      <c r="G73" s="59">
        <f t="shared" si="5"/>
        <v>0</v>
      </c>
    </row>
    <row r="74" spans="1:7" ht="15.75" customHeight="1" x14ac:dyDescent="0.25">
      <c r="A74" s="58" t="s">
        <v>649</v>
      </c>
      <c r="B74" s="1">
        <v>0</v>
      </c>
      <c r="C74" s="59" t="s">
        <v>55</v>
      </c>
      <c r="D74" s="58">
        <v>89.84</v>
      </c>
      <c r="E74" s="59">
        <f t="shared" si="10"/>
        <v>0</v>
      </c>
      <c r="F74" s="59">
        <v>0</v>
      </c>
      <c r="G74" s="59">
        <f t="shared" si="5"/>
        <v>0</v>
      </c>
    </row>
    <row r="75" spans="1:7" ht="15.75" customHeight="1" x14ac:dyDescent="0.25">
      <c r="A75" s="58" t="s">
        <v>650</v>
      </c>
      <c r="B75" s="1">
        <v>100</v>
      </c>
      <c r="C75" s="59" t="s">
        <v>55</v>
      </c>
      <c r="D75" s="58">
        <v>12.89</v>
      </c>
      <c r="E75" s="59">
        <f t="shared" si="10"/>
        <v>1289</v>
      </c>
      <c r="F75" s="59">
        <v>0</v>
      </c>
      <c r="G75" s="59">
        <f t="shared" si="5"/>
        <v>1289</v>
      </c>
    </row>
    <row r="76" spans="1:7" ht="15.75" customHeight="1" x14ac:dyDescent="0.25">
      <c r="A76" s="58" t="s">
        <v>651</v>
      </c>
      <c r="B76" s="1">
        <v>200</v>
      </c>
      <c r="C76" s="59" t="s">
        <v>14</v>
      </c>
      <c r="D76" s="58">
        <v>9.91</v>
      </c>
      <c r="E76" s="59">
        <f t="shared" si="10"/>
        <v>1982</v>
      </c>
      <c r="F76" s="59">
        <v>0</v>
      </c>
      <c r="G76" s="59">
        <f t="shared" si="5"/>
        <v>1982</v>
      </c>
    </row>
    <row r="77" spans="1:7" ht="15.75" customHeight="1" x14ac:dyDescent="0.25">
      <c r="A77" s="58" t="s">
        <v>652</v>
      </c>
      <c r="B77" s="1">
        <v>0</v>
      </c>
      <c r="C77" s="69" t="s">
        <v>14</v>
      </c>
      <c r="D77" s="58">
        <v>13.73</v>
      </c>
      <c r="E77" s="59">
        <f t="shared" si="10"/>
        <v>0</v>
      </c>
      <c r="F77" s="69">
        <v>0</v>
      </c>
      <c r="G77" s="59">
        <f t="shared" si="5"/>
        <v>0</v>
      </c>
    </row>
    <row r="78" spans="1:7" ht="15.75" customHeight="1" x14ac:dyDescent="0.25">
      <c r="A78" s="58" t="s">
        <v>924</v>
      </c>
      <c r="B78" s="1">
        <v>31</v>
      </c>
      <c r="C78" s="69" t="s">
        <v>14</v>
      </c>
      <c r="D78" s="58">
        <v>29.67</v>
      </c>
      <c r="E78" s="59">
        <f t="shared" si="10"/>
        <v>919.7700000000001</v>
      </c>
      <c r="F78" s="69">
        <v>0</v>
      </c>
      <c r="G78" s="59">
        <f t="shared" si="5"/>
        <v>919.7700000000001</v>
      </c>
    </row>
    <row r="79" spans="1:7" ht="15.75" customHeight="1" x14ac:dyDescent="0.25">
      <c r="A79" s="58" t="s">
        <v>938</v>
      </c>
      <c r="B79" s="1">
        <v>5</v>
      </c>
      <c r="C79" s="69" t="s">
        <v>14</v>
      </c>
      <c r="D79" s="58">
        <v>26.42</v>
      </c>
      <c r="E79" s="59">
        <f t="shared" ref="E79" si="11">B79*D79</f>
        <v>132.10000000000002</v>
      </c>
      <c r="F79" s="69">
        <v>0</v>
      </c>
      <c r="G79" s="59">
        <f t="shared" ref="G79" si="12">B79*D79</f>
        <v>132.10000000000002</v>
      </c>
    </row>
    <row r="80" spans="1:7" ht="15.75" customHeight="1" x14ac:dyDescent="0.25">
      <c r="A80" s="58" t="s">
        <v>947</v>
      </c>
      <c r="B80" s="1">
        <v>1.8</v>
      </c>
      <c r="C80" s="69" t="s">
        <v>14</v>
      </c>
      <c r="D80" s="58">
        <v>86.27</v>
      </c>
      <c r="E80" s="59">
        <f t="shared" ref="E80" si="13">B80*D80</f>
        <v>155.286</v>
      </c>
      <c r="F80" s="69">
        <v>0</v>
      </c>
      <c r="G80" s="59">
        <f t="shared" ref="G80" si="14">B80*D80</f>
        <v>155.286</v>
      </c>
    </row>
    <row r="81" spans="1:7" ht="15.75" customHeight="1" x14ac:dyDescent="0.25">
      <c r="A81" s="68" t="s">
        <v>653</v>
      </c>
      <c r="B81" s="1">
        <v>0</v>
      </c>
      <c r="C81" s="59" t="s">
        <v>14</v>
      </c>
      <c r="D81" s="58">
        <v>69.849999999999994</v>
      </c>
      <c r="E81" s="59">
        <f t="shared" si="10"/>
        <v>0</v>
      </c>
      <c r="F81" s="59">
        <v>0</v>
      </c>
      <c r="G81" s="59">
        <f t="shared" si="5"/>
        <v>0</v>
      </c>
    </row>
    <row r="82" spans="1:7" ht="15.75" customHeight="1" x14ac:dyDescent="0.25">
      <c r="A82" s="58" t="s">
        <v>654</v>
      </c>
      <c r="B82" s="1">
        <v>0</v>
      </c>
      <c r="C82" s="59" t="s">
        <v>14</v>
      </c>
      <c r="D82" s="58">
        <v>67.430000000000007</v>
      </c>
      <c r="E82" s="59">
        <f t="shared" si="10"/>
        <v>0</v>
      </c>
      <c r="F82" s="59">
        <v>0</v>
      </c>
      <c r="G82" s="59">
        <f t="shared" si="5"/>
        <v>0</v>
      </c>
    </row>
    <row r="83" spans="1:7" ht="15.75" customHeight="1" x14ac:dyDescent="0.25">
      <c r="A83" s="58" t="s">
        <v>655</v>
      </c>
      <c r="B83" s="1">
        <v>0</v>
      </c>
      <c r="C83" s="59" t="s">
        <v>14</v>
      </c>
      <c r="D83" s="58">
        <v>67.430000000000007</v>
      </c>
      <c r="E83" s="59">
        <f t="shared" si="10"/>
        <v>0</v>
      </c>
      <c r="F83" s="59">
        <v>0</v>
      </c>
      <c r="G83" s="59">
        <f t="shared" si="5"/>
        <v>0</v>
      </c>
    </row>
    <row r="84" spans="1:7" ht="15.75" customHeight="1" x14ac:dyDescent="0.25">
      <c r="A84" s="58" t="s">
        <v>656</v>
      </c>
      <c r="B84" s="1">
        <v>0</v>
      </c>
      <c r="C84" s="59" t="s">
        <v>14</v>
      </c>
      <c r="D84" s="58">
        <v>30.402100000000001</v>
      </c>
      <c r="E84" s="59">
        <f t="shared" si="10"/>
        <v>0</v>
      </c>
      <c r="F84" s="59">
        <v>0</v>
      </c>
      <c r="G84" s="59">
        <f t="shared" si="5"/>
        <v>0</v>
      </c>
    </row>
    <row r="85" spans="1:7" ht="15.75" customHeight="1" x14ac:dyDescent="0.25">
      <c r="A85" s="58" t="s">
        <v>657</v>
      </c>
      <c r="B85" s="1">
        <v>0</v>
      </c>
      <c r="C85" s="59" t="s">
        <v>14</v>
      </c>
      <c r="D85" s="58">
        <v>113.02</v>
      </c>
      <c r="E85" s="59">
        <f t="shared" si="10"/>
        <v>0</v>
      </c>
      <c r="F85" s="59">
        <v>0</v>
      </c>
      <c r="G85" s="59">
        <f t="shared" si="5"/>
        <v>0</v>
      </c>
    </row>
    <row r="86" spans="1:7" ht="15.75" customHeight="1" x14ac:dyDescent="0.25">
      <c r="A86" s="58" t="s">
        <v>658</v>
      </c>
      <c r="B86" s="1">
        <v>0</v>
      </c>
      <c r="C86" s="59" t="s">
        <v>14</v>
      </c>
      <c r="D86" s="58">
        <v>105.2</v>
      </c>
      <c r="E86" s="59">
        <f t="shared" si="10"/>
        <v>0</v>
      </c>
      <c r="F86" s="59">
        <v>0</v>
      </c>
      <c r="G86" s="59">
        <f t="shared" si="5"/>
        <v>0</v>
      </c>
    </row>
    <row r="87" spans="1:7" ht="15.75" customHeight="1" x14ac:dyDescent="0.25">
      <c r="A87" s="58" t="s">
        <v>659</v>
      </c>
      <c r="B87" s="1">
        <v>5.5</v>
      </c>
      <c r="C87" s="59" t="s">
        <v>14</v>
      </c>
      <c r="D87" s="58">
        <v>111</v>
      </c>
      <c r="E87" s="59">
        <f>B87*D87</f>
        <v>610.5</v>
      </c>
      <c r="F87" s="59">
        <v>0</v>
      </c>
      <c r="G87" s="59">
        <f t="shared" si="5"/>
        <v>610.5</v>
      </c>
    </row>
    <row r="88" spans="1:7" ht="15.75" customHeight="1" x14ac:dyDescent="0.25">
      <c r="A88" s="58" t="s">
        <v>660</v>
      </c>
      <c r="B88" s="1">
        <v>0</v>
      </c>
      <c r="C88" s="59" t="s">
        <v>14</v>
      </c>
      <c r="D88" s="58">
        <v>110.3</v>
      </c>
      <c r="E88" s="59">
        <f t="shared" si="10"/>
        <v>0</v>
      </c>
      <c r="F88" s="59">
        <v>0</v>
      </c>
      <c r="G88" s="59">
        <f t="shared" si="5"/>
        <v>0</v>
      </c>
    </row>
    <row r="89" spans="1:7" ht="15.75" customHeight="1" x14ac:dyDescent="0.25">
      <c r="A89" s="58" t="s">
        <v>661</v>
      </c>
      <c r="B89" s="1">
        <v>5</v>
      </c>
      <c r="C89" s="59" t="s">
        <v>14</v>
      </c>
      <c r="D89" s="58">
        <v>78.05</v>
      </c>
      <c r="E89" s="59">
        <f t="shared" si="10"/>
        <v>390.25</v>
      </c>
      <c r="F89" s="59">
        <v>0</v>
      </c>
      <c r="G89" s="59">
        <f t="shared" si="5"/>
        <v>390.25</v>
      </c>
    </row>
    <row r="90" spans="1:7" ht="15.75" customHeight="1" x14ac:dyDescent="0.25">
      <c r="A90" s="58" t="s">
        <v>662</v>
      </c>
      <c r="B90" s="1">
        <v>0</v>
      </c>
      <c r="C90" s="59" t="s">
        <v>14</v>
      </c>
      <c r="D90" s="58">
        <v>72.900000000000006</v>
      </c>
      <c r="E90" s="59">
        <f t="shared" si="10"/>
        <v>0</v>
      </c>
      <c r="F90" s="59">
        <v>0</v>
      </c>
      <c r="G90" s="59">
        <f t="shared" si="5"/>
        <v>0</v>
      </c>
    </row>
    <row r="91" spans="1:7" ht="15.75" customHeight="1" x14ac:dyDescent="0.25">
      <c r="A91" s="58" t="s">
        <v>663</v>
      </c>
      <c r="B91" s="1">
        <v>0</v>
      </c>
      <c r="C91" s="59" t="s">
        <v>14</v>
      </c>
      <c r="D91" s="58">
        <v>77.989999999999995</v>
      </c>
      <c r="E91" s="59">
        <f t="shared" si="10"/>
        <v>0</v>
      </c>
      <c r="F91" s="59">
        <v>0</v>
      </c>
      <c r="G91" s="59">
        <f t="shared" si="5"/>
        <v>0</v>
      </c>
    </row>
    <row r="92" spans="1:7" ht="15.75" customHeight="1" x14ac:dyDescent="0.25">
      <c r="A92" s="58" t="s">
        <v>664</v>
      </c>
      <c r="B92" s="1">
        <v>0</v>
      </c>
      <c r="C92" s="59" t="s">
        <v>14</v>
      </c>
      <c r="D92" s="58">
        <v>176.23</v>
      </c>
      <c r="E92" s="59">
        <f t="shared" si="10"/>
        <v>0</v>
      </c>
      <c r="F92" s="59">
        <v>0</v>
      </c>
      <c r="G92" s="59">
        <f t="shared" si="5"/>
        <v>0</v>
      </c>
    </row>
    <row r="93" spans="1:7" ht="15.75" customHeight="1" x14ac:dyDescent="0.25">
      <c r="A93" s="58" t="s">
        <v>665</v>
      </c>
      <c r="B93" s="1">
        <v>0</v>
      </c>
      <c r="C93" s="59" t="s">
        <v>14</v>
      </c>
      <c r="D93" s="58">
        <v>84.344999999999999</v>
      </c>
      <c r="E93" s="59">
        <f t="shared" si="10"/>
        <v>0</v>
      </c>
      <c r="F93" s="59">
        <v>0</v>
      </c>
      <c r="G93" s="59">
        <f t="shared" si="5"/>
        <v>0</v>
      </c>
    </row>
    <row r="94" spans="1:7" ht="15.75" customHeight="1" x14ac:dyDescent="0.25">
      <c r="A94" s="58" t="s">
        <v>666</v>
      </c>
      <c r="B94" s="1">
        <v>0</v>
      </c>
      <c r="C94" s="59" t="s">
        <v>14</v>
      </c>
      <c r="D94" s="58">
        <v>41.481299999999997</v>
      </c>
      <c r="E94" s="59">
        <f t="shared" si="10"/>
        <v>0</v>
      </c>
      <c r="F94" s="59">
        <v>0</v>
      </c>
      <c r="G94" s="59">
        <f t="shared" si="5"/>
        <v>0</v>
      </c>
    </row>
    <row r="95" spans="1:7" ht="15.75" customHeight="1" x14ac:dyDescent="0.25">
      <c r="A95" s="58" t="s">
        <v>667</v>
      </c>
      <c r="B95" s="1">
        <v>0</v>
      </c>
      <c r="C95" s="59" t="s">
        <v>14</v>
      </c>
      <c r="D95" s="58">
        <v>161.99</v>
      </c>
      <c r="E95" s="59">
        <f t="shared" si="10"/>
        <v>0</v>
      </c>
      <c r="F95" s="59">
        <v>0</v>
      </c>
      <c r="G95" s="59">
        <f t="shared" si="5"/>
        <v>0</v>
      </c>
    </row>
    <row r="96" spans="1:7" ht="15.75" customHeight="1" x14ac:dyDescent="0.25">
      <c r="A96" s="58" t="s">
        <v>668</v>
      </c>
      <c r="B96" s="1">
        <v>0</v>
      </c>
      <c r="C96" s="59" t="s">
        <v>14</v>
      </c>
      <c r="D96" s="58">
        <v>89.9</v>
      </c>
      <c r="E96" s="59">
        <f t="shared" si="10"/>
        <v>0</v>
      </c>
      <c r="F96" s="59">
        <v>0</v>
      </c>
      <c r="G96" s="59">
        <f t="shared" si="5"/>
        <v>0</v>
      </c>
    </row>
    <row r="97" spans="1:7" ht="15.75" customHeight="1" x14ac:dyDescent="0.25">
      <c r="A97" s="58" t="s">
        <v>669</v>
      </c>
      <c r="B97" s="1">
        <v>0</v>
      </c>
      <c r="C97" s="59" t="s">
        <v>14</v>
      </c>
      <c r="D97" s="58">
        <v>59.9</v>
      </c>
      <c r="E97" s="59">
        <f t="shared" si="10"/>
        <v>0</v>
      </c>
      <c r="F97" s="59">
        <v>0</v>
      </c>
      <c r="G97" s="59">
        <f t="shared" si="5"/>
        <v>0</v>
      </c>
    </row>
    <row r="98" spans="1:7" ht="15.75" customHeight="1" x14ac:dyDescent="0.25">
      <c r="A98" s="58" t="s">
        <v>670</v>
      </c>
      <c r="B98" s="1">
        <v>0</v>
      </c>
      <c r="C98" s="59" t="s">
        <v>14</v>
      </c>
      <c r="D98" s="58">
        <v>225.47</v>
      </c>
      <c r="E98" s="59">
        <f t="shared" si="10"/>
        <v>0</v>
      </c>
      <c r="F98" s="59"/>
      <c r="G98" s="59">
        <f t="shared" si="5"/>
        <v>0</v>
      </c>
    </row>
    <row r="99" spans="1:7" ht="15.75" customHeight="1" x14ac:dyDescent="0.25">
      <c r="A99" s="58" t="s">
        <v>671</v>
      </c>
      <c r="B99" s="1">
        <v>0</v>
      </c>
      <c r="C99" s="59" t="s">
        <v>14</v>
      </c>
      <c r="D99" s="58">
        <v>70</v>
      </c>
      <c r="E99" s="59">
        <f t="shared" si="10"/>
        <v>0</v>
      </c>
      <c r="F99" s="59">
        <v>0</v>
      </c>
      <c r="G99" s="59">
        <f t="shared" si="5"/>
        <v>0</v>
      </c>
    </row>
    <row r="100" spans="1:7" ht="15.75" customHeight="1" x14ac:dyDescent="0.25">
      <c r="A100" s="58" t="s">
        <v>672</v>
      </c>
      <c r="B100" s="1">
        <v>2</v>
      </c>
      <c r="C100" s="59" t="s">
        <v>14</v>
      </c>
      <c r="D100" s="58">
        <v>222</v>
      </c>
      <c r="E100" s="59">
        <f t="shared" si="10"/>
        <v>444</v>
      </c>
      <c r="F100" s="59">
        <v>0</v>
      </c>
      <c r="G100" s="59">
        <f t="shared" si="5"/>
        <v>444</v>
      </c>
    </row>
    <row r="101" spans="1:7" ht="15.75" customHeight="1" x14ac:dyDescent="0.25">
      <c r="A101" s="58" t="s">
        <v>673</v>
      </c>
      <c r="B101" s="1">
        <v>7.7</v>
      </c>
      <c r="C101" s="59" t="s">
        <v>14</v>
      </c>
      <c r="D101" s="58">
        <v>56.6</v>
      </c>
      <c r="E101" s="59">
        <f t="shared" si="10"/>
        <v>435.82</v>
      </c>
      <c r="F101" s="59">
        <v>0</v>
      </c>
      <c r="G101" s="59">
        <f t="shared" si="5"/>
        <v>435.82</v>
      </c>
    </row>
    <row r="102" spans="1:7" ht="15.75" customHeight="1" x14ac:dyDescent="0.25">
      <c r="A102" s="58" t="s">
        <v>923</v>
      </c>
      <c r="B102" s="1">
        <v>0</v>
      </c>
      <c r="C102" s="59" t="s">
        <v>14</v>
      </c>
      <c r="D102" s="58">
        <v>233</v>
      </c>
      <c r="E102" s="59">
        <f t="shared" si="10"/>
        <v>0</v>
      </c>
      <c r="F102" s="59">
        <v>0</v>
      </c>
      <c r="G102" s="59">
        <f t="shared" si="5"/>
        <v>0</v>
      </c>
    </row>
    <row r="103" spans="1:7" ht="15.75" customHeight="1" x14ac:dyDescent="0.25">
      <c r="A103" s="58" t="s">
        <v>674</v>
      </c>
      <c r="B103" s="1">
        <v>0</v>
      </c>
      <c r="C103" s="59" t="s">
        <v>14</v>
      </c>
      <c r="D103" s="58">
        <v>99.38</v>
      </c>
      <c r="E103" s="59">
        <f t="shared" si="10"/>
        <v>0</v>
      </c>
      <c r="F103" s="59">
        <v>0</v>
      </c>
      <c r="G103" s="59">
        <f t="shared" si="5"/>
        <v>0</v>
      </c>
    </row>
    <row r="104" spans="1:7" ht="15.75" customHeight="1" x14ac:dyDescent="0.25">
      <c r="A104" s="58" t="s">
        <v>936</v>
      </c>
      <c r="B104" s="1">
        <v>3</v>
      </c>
      <c r="C104" s="59" t="s">
        <v>14</v>
      </c>
      <c r="D104" s="58">
        <v>138.26</v>
      </c>
      <c r="E104" s="59">
        <f t="shared" ref="E104" si="15">B104*D104</f>
        <v>414.78</v>
      </c>
      <c r="F104" s="59">
        <v>0</v>
      </c>
      <c r="G104" s="59">
        <f t="shared" ref="G104" si="16">B104*D104</f>
        <v>414.78</v>
      </c>
    </row>
    <row r="105" spans="1:7" ht="15.75" customHeight="1" x14ac:dyDescent="0.25">
      <c r="A105" s="58" t="s">
        <v>675</v>
      </c>
      <c r="B105" s="1">
        <v>5.0999999999999996</v>
      </c>
      <c r="C105" s="59" t="s">
        <v>14</v>
      </c>
      <c r="D105" s="58">
        <v>103.97</v>
      </c>
      <c r="E105" s="59">
        <f t="shared" si="10"/>
        <v>530.24699999999996</v>
      </c>
      <c r="F105" s="59">
        <v>0</v>
      </c>
      <c r="G105" s="59">
        <f t="shared" si="5"/>
        <v>530.24699999999996</v>
      </c>
    </row>
    <row r="106" spans="1:7" ht="15.75" customHeight="1" x14ac:dyDescent="0.25">
      <c r="A106" s="58" t="s">
        <v>676</v>
      </c>
      <c r="B106" s="1">
        <v>0</v>
      </c>
      <c r="C106" s="59" t="s">
        <v>14</v>
      </c>
      <c r="D106" s="58">
        <v>89</v>
      </c>
      <c r="E106" s="59">
        <f t="shared" si="10"/>
        <v>0</v>
      </c>
      <c r="F106" s="59">
        <v>0</v>
      </c>
      <c r="G106" s="59">
        <f t="shared" si="5"/>
        <v>0</v>
      </c>
    </row>
    <row r="107" spans="1:7" ht="15.75" customHeight="1" x14ac:dyDescent="0.25">
      <c r="A107" s="58" t="s">
        <v>677</v>
      </c>
      <c r="B107" s="1">
        <v>0</v>
      </c>
      <c r="C107" s="59" t="s">
        <v>14</v>
      </c>
      <c r="D107" s="58">
        <v>163.41999999999999</v>
      </c>
      <c r="E107" s="59">
        <f t="shared" si="10"/>
        <v>0</v>
      </c>
      <c r="F107" s="59">
        <v>0</v>
      </c>
      <c r="G107" s="59">
        <f t="shared" si="5"/>
        <v>0</v>
      </c>
    </row>
    <row r="108" spans="1:7" ht="15.75" customHeight="1" x14ac:dyDescent="0.25">
      <c r="A108" s="58" t="s">
        <v>678</v>
      </c>
      <c r="B108" s="1">
        <v>5.5</v>
      </c>
      <c r="C108" s="59" t="s">
        <v>14</v>
      </c>
      <c r="D108" s="58">
        <v>103.97</v>
      </c>
      <c r="E108" s="59">
        <f t="shared" si="10"/>
        <v>571.83500000000004</v>
      </c>
      <c r="F108" s="59">
        <v>0</v>
      </c>
      <c r="G108" s="59">
        <f t="shared" si="5"/>
        <v>571.83500000000004</v>
      </c>
    </row>
    <row r="109" spans="1:7" ht="15.75" customHeight="1" x14ac:dyDescent="0.25">
      <c r="A109" s="58" t="s">
        <v>679</v>
      </c>
      <c r="B109" s="1">
        <v>0</v>
      </c>
      <c r="C109" s="59" t="s">
        <v>14</v>
      </c>
      <c r="D109" s="58">
        <v>68.3</v>
      </c>
      <c r="E109" s="59">
        <f t="shared" si="10"/>
        <v>0</v>
      </c>
      <c r="F109" s="59">
        <v>0</v>
      </c>
      <c r="G109" s="59">
        <f t="shared" si="5"/>
        <v>0</v>
      </c>
    </row>
    <row r="110" spans="1:7" ht="15.75" customHeight="1" x14ac:dyDescent="0.25">
      <c r="A110" s="58" t="s">
        <v>935</v>
      </c>
      <c r="B110" s="1">
        <v>22</v>
      </c>
      <c r="C110" s="59" t="s">
        <v>14</v>
      </c>
      <c r="D110" s="58">
        <v>59.9</v>
      </c>
      <c r="E110" s="59">
        <f t="shared" ref="E110" si="17">B110*D110</f>
        <v>1317.8</v>
      </c>
      <c r="F110" s="59">
        <v>0</v>
      </c>
      <c r="G110" s="59">
        <f t="shared" ref="G110" si="18">B110*D110</f>
        <v>1317.8</v>
      </c>
    </row>
    <row r="111" spans="1:7" ht="15.75" customHeight="1" x14ac:dyDescent="0.25">
      <c r="A111" s="58" t="s">
        <v>680</v>
      </c>
      <c r="B111" s="1">
        <v>0</v>
      </c>
      <c r="C111" s="59" t="s">
        <v>14</v>
      </c>
      <c r="D111" s="58">
        <v>73.2</v>
      </c>
      <c r="E111" s="59">
        <f t="shared" si="10"/>
        <v>0</v>
      </c>
      <c r="F111" s="59">
        <v>0</v>
      </c>
      <c r="G111" s="59">
        <f t="shared" si="5"/>
        <v>0</v>
      </c>
    </row>
    <row r="112" spans="1:7" ht="15.75" customHeight="1" x14ac:dyDescent="0.25">
      <c r="A112" s="58" t="s">
        <v>681</v>
      </c>
      <c r="B112" s="1">
        <v>1</v>
      </c>
      <c r="C112" s="59" t="s">
        <v>14</v>
      </c>
      <c r="D112" s="58">
        <v>92</v>
      </c>
      <c r="E112" s="59">
        <f t="shared" si="10"/>
        <v>92</v>
      </c>
      <c r="F112" s="59">
        <v>0</v>
      </c>
      <c r="G112" s="59">
        <f t="shared" si="5"/>
        <v>92</v>
      </c>
    </row>
    <row r="113" spans="1:7" ht="15.75" customHeight="1" x14ac:dyDescent="0.25">
      <c r="A113" s="58" t="s">
        <v>682</v>
      </c>
      <c r="B113" s="1">
        <v>2</v>
      </c>
      <c r="C113" s="59" t="s">
        <v>14</v>
      </c>
      <c r="D113" s="58">
        <v>43.94</v>
      </c>
      <c r="E113" s="59">
        <f t="shared" si="10"/>
        <v>87.88</v>
      </c>
      <c r="F113" s="59">
        <v>0</v>
      </c>
      <c r="G113" s="59">
        <f t="shared" si="5"/>
        <v>87.88</v>
      </c>
    </row>
    <row r="114" spans="1:7" ht="15.75" customHeight="1" x14ac:dyDescent="0.25">
      <c r="A114" s="58" t="s">
        <v>683</v>
      </c>
      <c r="B114" s="1">
        <v>0</v>
      </c>
      <c r="C114" s="59" t="s">
        <v>14</v>
      </c>
      <c r="D114" s="58">
        <v>119.54</v>
      </c>
      <c r="E114" s="59">
        <f t="shared" si="10"/>
        <v>0</v>
      </c>
      <c r="F114" s="59">
        <v>0</v>
      </c>
      <c r="G114" s="59">
        <f t="shared" si="5"/>
        <v>0</v>
      </c>
    </row>
    <row r="115" spans="1:7" ht="15.75" customHeight="1" x14ac:dyDescent="0.25">
      <c r="A115" s="58" t="s">
        <v>684</v>
      </c>
      <c r="B115" s="1">
        <v>0</v>
      </c>
      <c r="C115" s="59" t="s">
        <v>14</v>
      </c>
      <c r="D115" s="58">
        <v>54.19</v>
      </c>
      <c r="E115" s="59">
        <f t="shared" si="10"/>
        <v>0</v>
      </c>
      <c r="F115" s="59">
        <v>0</v>
      </c>
      <c r="G115" s="59">
        <f t="shared" si="5"/>
        <v>0</v>
      </c>
    </row>
    <row r="116" spans="1:7" ht="15.75" customHeight="1" x14ac:dyDescent="0.25">
      <c r="A116" s="58" t="s">
        <v>685</v>
      </c>
      <c r="B116" s="1">
        <v>0</v>
      </c>
      <c r="C116" s="59" t="s">
        <v>14</v>
      </c>
      <c r="D116" s="58">
        <v>79.900000000000006</v>
      </c>
      <c r="E116" s="59">
        <f t="shared" si="10"/>
        <v>0</v>
      </c>
      <c r="F116" s="59">
        <v>0</v>
      </c>
      <c r="G116" s="59">
        <f t="shared" si="5"/>
        <v>0</v>
      </c>
    </row>
    <row r="117" spans="1:7" ht="15.75" customHeight="1" x14ac:dyDescent="0.25">
      <c r="A117" s="58" t="s">
        <v>686</v>
      </c>
      <c r="B117" s="1">
        <v>4.0999999999999996</v>
      </c>
      <c r="C117" s="59" t="s">
        <v>14</v>
      </c>
      <c r="D117" s="58">
        <v>180</v>
      </c>
      <c r="E117" s="59">
        <f t="shared" si="10"/>
        <v>737.99999999999989</v>
      </c>
      <c r="F117" s="59">
        <v>0</v>
      </c>
      <c r="G117" s="59">
        <f t="shared" si="5"/>
        <v>737.99999999999989</v>
      </c>
    </row>
    <row r="118" spans="1:7" ht="15.75" customHeight="1" x14ac:dyDescent="0.25">
      <c r="A118" s="58" t="s">
        <v>687</v>
      </c>
      <c r="B118" s="1">
        <v>0</v>
      </c>
      <c r="C118" s="59" t="s">
        <v>14</v>
      </c>
      <c r="D118" s="58">
        <v>71.34</v>
      </c>
      <c r="E118" s="59">
        <f t="shared" si="10"/>
        <v>0</v>
      </c>
      <c r="F118" s="59">
        <v>0</v>
      </c>
      <c r="G118" s="59">
        <f t="shared" si="5"/>
        <v>0</v>
      </c>
    </row>
    <row r="119" spans="1:7" ht="15.75" customHeight="1" x14ac:dyDescent="0.25">
      <c r="A119" s="58" t="s">
        <v>688</v>
      </c>
      <c r="B119" s="1">
        <v>0</v>
      </c>
      <c r="C119" s="59" t="s">
        <v>14</v>
      </c>
      <c r="D119" s="58">
        <v>97</v>
      </c>
      <c r="E119" s="59">
        <f t="shared" si="10"/>
        <v>0</v>
      </c>
      <c r="F119" s="59">
        <v>0</v>
      </c>
      <c r="G119" s="59">
        <f t="shared" si="5"/>
        <v>0</v>
      </c>
    </row>
    <row r="120" spans="1:7" ht="15.75" customHeight="1" x14ac:dyDescent="0.25">
      <c r="A120" s="58" t="s">
        <v>926</v>
      </c>
      <c r="B120" s="1">
        <v>1</v>
      </c>
      <c r="C120" s="59" t="s">
        <v>14</v>
      </c>
      <c r="D120" s="58">
        <v>189</v>
      </c>
      <c r="E120" s="59">
        <f t="shared" si="10"/>
        <v>189</v>
      </c>
      <c r="F120" s="3">
        <v>0</v>
      </c>
      <c r="G120" s="59">
        <f t="shared" si="5"/>
        <v>189</v>
      </c>
    </row>
    <row r="121" spans="1:7" ht="15.75" customHeight="1" x14ac:dyDescent="0.25">
      <c r="A121" s="58" t="s">
        <v>689</v>
      </c>
      <c r="B121" s="1">
        <v>2.4</v>
      </c>
      <c r="C121" s="59" t="s">
        <v>14</v>
      </c>
      <c r="D121" s="58">
        <v>99.22</v>
      </c>
      <c r="E121" s="59">
        <f t="shared" si="10"/>
        <v>238.12799999999999</v>
      </c>
      <c r="F121" s="3">
        <v>0</v>
      </c>
      <c r="G121" s="59">
        <f t="shared" si="5"/>
        <v>238.12799999999999</v>
      </c>
    </row>
    <row r="122" spans="1:7" ht="15.75" customHeight="1" x14ac:dyDescent="0.25">
      <c r="A122" s="58" t="s">
        <v>690</v>
      </c>
      <c r="B122" s="1">
        <v>0</v>
      </c>
      <c r="C122" s="59" t="s">
        <v>14</v>
      </c>
      <c r="D122" s="58">
        <v>136.53</v>
      </c>
      <c r="E122" s="59">
        <f t="shared" si="10"/>
        <v>0</v>
      </c>
      <c r="F122" s="3">
        <v>0</v>
      </c>
      <c r="G122" s="59">
        <f t="shared" si="5"/>
        <v>0</v>
      </c>
    </row>
    <row r="123" spans="1:7" ht="15.75" customHeight="1" x14ac:dyDescent="0.25">
      <c r="A123" s="58" t="s">
        <v>691</v>
      </c>
      <c r="B123" s="1">
        <v>0</v>
      </c>
      <c r="C123" s="59" t="s">
        <v>14</v>
      </c>
      <c r="D123" s="58">
        <v>120.87</v>
      </c>
      <c r="E123" s="59">
        <f t="shared" si="10"/>
        <v>0</v>
      </c>
      <c r="F123" s="3">
        <v>0</v>
      </c>
      <c r="G123" s="59">
        <f t="shared" si="5"/>
        <v>0</v>
      </c>
    </row>
    <row r="124" spans="1:7" ht="15.75" customHeight="1" x14ac:dyDescent="0.25">
      <c r="A124" s="58" t="s">
        <v>692</v>
      </c>
      <c r="B124" s="1">
        <v>0</v>
      </c>
      <c r="C124" s="59" t="s">
        <v>14</v>
      </c>
      <c r="D124" s="58">
        <v>113.79</v>
      </c>
      <c r="E124" s="59">
        <f t="shared" si="10"/>
        <v>0</v>
      </c>
      <c r="F124" s="3">
        <v>0</v>
      </c>
      <c r="G124" s="59">
        <f t="shared" si="5"/>
        <v>0</v>
      </c>
    </row>
    <row r="125" spans="1:7" ht="15.75" customHeight="1" x14ac:dyDescent="0.25">
      <c r="A125" s="58" t="s">
        <v>693</v>
      </c>
      <c r="B125" s="1">
        <v>0.2</v>
      </c>
      <c r="C125" s="59" t="s">
        <v>14</v>
      </c>
      <c r="D125" s="58">
        <v>132.9</v>
      </c>
      <c r="E125" s="59">
        <f t="shared" si="10"/>
        <v>26.580000000000002</v>
      </c>
      <c r="F125" s="3">
        <v>0</v>
      </c>
      <c r="G125" s="59">
        <f t="shared" si="5"/>
        <v>26.580000000000002</v>
      </c>
    </row>
    <row r="126" spans="1:7" ht="15.75" customHeight="1" x14ac:dyDescent="0.25">
      <c r="A126" s="58" t="s">
        <v>694</v>
      </c>
      <c r="B126" s="1">
        <v>0</v>
      </c>
      <c r="C126" s="59" t="s">
        <v>14</v>
      </c>
      <c r="D126" s="58">
        <v>117.15</v>
      </c>
      <c r="E126" s="59">
        <f t="shared" si="10"/>
        <v>0</v>
      </c>
      <c r="F126" s="59">
        <v>0</v>
      </c>
      <c r="G126" s="59">
        <f t="shared" si="5"/>
        <v>0</v>
      </c>
    </row>
    <row r="127" spans="1:7" ht="15.75" customHeight="1" x14ac:dyDescent="0.25">
      <c r="A127" s="58" t="s">
        <v>695</v>
      </c>
      <c r="B127" s="1">
        <v>0</v>
      </c>
      <c r="C127" s="59" t="s">
        <v>14</v>
      </c>
      <c r="D127" s="58">
        <v>196</v>
      </c>
      <c r="E127" s="59">
        <f t="shared" si="10"/>
        <v>0</v>
      </c>
      <c r="F127" s="59">
        <v>0</v>
      </c>
      <c r="G127" s="59">
        <f t="shared" si="5"/>
        <v>0</v>
      </c>
    </row>
    <row r="128" spans="1:7" ht="15.75" customHeight="1" x14ac:dyDescent="0.25">
      <c r="A128" s="58" t="s">
        <v>696</v>
      </c>
      <c r="B128" s="1">
        <v>0</v>
      </c>
      <c r="C128" s="59" t="s">
        <v>14</v>
      </c>
      <c r="D128" s="58">
        <v>139.4</v>
      </c>
      <c r="E128" s="59">
        <f t="shared" si="10"/>
        <v>0</v>
      </c>
      <c r="F128" s="59">
        <v>0</v>
      </c>
      <c r="G128" s="59">
        <f t="shared" si="5"/>
        <v>0</v>
      </c>
    </row>
    <row r="129" spans="1:7" ht="15.75" customHeight="1" x14ac:dyDescent="0.25">
      <c r="A129" s="58" t="s">
        <v>697</v>
      </c>
      <c r="B129" s="1">
        <v>0</v>
      </c>
      <c r="C129" s="59" t="s">
        <v>14</v>
      </c>
      <c r="D129" s="58">
        <v>36</v>
      </c>
      <c r="E129" s="59">
        <f t="shared" si="10"/>
        <v>0</v>
      </c>
      <c r="F129" s="59">
        <v>0</v>
      </c>
      <c r="G129" s="59">
        <f t="shared" si="5"/>
        <v>0</v>
      </c>
    </row>
    <row r="130" spans="1:7" ht="15.75" customHeight="1" x14ac:dyDescent="0.25">
      <c r="A130" s="58" t="s">
        <v>698</v>
      </c>
      <c r="B130" s="1">
        <v>0</v>
      </c>
      <c r="C130" s="59" t="s">
        <v>14</v>
      </c>
      <c r="D130" s="58">
        <v>34.57</v>
      </c>
      <c r="E130" s="59">
        <f t="shared" si="10"/>
        <v>0</v>
      </c>
      <c r="F130" s="59">
        <v>0</v>
      </c>
      <c r="G130" s="59">
        <f t="shared" si="5"/>
        <v>0</v>
      </c>
    </row>
    <row r="131" spans="1:7" ht="15.75" customHeight="1" x14ac:dyDescent="0.25">
      <c r="A131" s="58" t="s">
        <v>699</v>
      </c>
      <c r="B131" s="1">
        <v>0</v>
      </c>
      <c r="C131" s="59" t="s">
        <v>14</v>
      </c>
      <c r="D131" s="58">
        <v>36</v>
      </c>
      <c r="E131" s="59">
        <f t="shared" si="10"/>
        <v>0</v>
      </c>
      <c r="F131" s="59">
        <v>0</v>
      </c>
      <c r="G131" s="59">
        <f t="shared" si="5"/>
        <v>0</v>
      </c>
    </row>
    <row r="132" spans="1:7" ht="15.75" customHeight="1" x14ac:dyDescent="0.25">
      <c r="A132" s="58" t="s">
        <v>700</v>
      </c>
      <c r="B132" s="1">
        <v>0</v>
      </c>
      <c r="C132" s="59" t="s">
        <v>14</v>
      </c>
      <c r="D132" s="58">
        <v>132.9</v>
      </c>
      <c r="E132" s="59">
        <f t="shared" si="10"/>
        <v>0</v>
      </c>
      <c r="F132" s="59">
        <v>0</v>
      </c>
      <c r="G132" s="59">
        <f t="shared" si="5"/>
        <v>0</v>
      </c>
    </row>
    <row r="133" spans="1:7" ht="15.75" customHeight="1" x14ac:dyDescent="0.25">
      <c r="A133" s="58" t="s">
        <v>701</v>
      </c>
      <c r="B133" s="1">
        <v>0</v>
      </c>
      <c r="C133" s="59" t="s">
        <v>14</v>
      </c>
      <c r="D133" s="58">
        <v>0</v>
      </c>
      <c r="E133" s="59">
        <f t="shared" si="10"/>
        <v>0</v>
      </c>
      <c r="F133" s="59">
        <v>0</v>
      </c>
      <c r="G133" s="59">
        <f t="shared" si="5"/>
        <v>0</v>
      </c>
    </row>
    <row r="134" spans="1:7" ht="15.75" customHeight="1" x14ac:dyDescent="0.25">
      <c r="A134" s="58" t="s">
        <v>945</v>
      </c>
      <c r="B134" s="1">
        <v>7.4</v>
      </c>
      <c r="C134" s="59" t="s">
        <v>14</v>
      </c>
      <c r="D134" s="58">
        <v>46.07</v>
      </c>
      <c r="E134" s="59">
        <f t="shared" si="10"/>
        <v>340.91800000000001</v>
      </c>
      <c r="F134" s="59"/>
      <c r="G134" s="59">
        <f t="shared" si="5"/>
        <v>340.91800000000001</v>
      </c>
    </row>
    <row r="135" spans="1:7" ht="15.75" customHeight="1" x14ac:dyDescent="0.25">
      <c r="A135" s="58" t="s">
        <v>702</v>
      </c>
      <c r="B135" s="1">
        <v>3.4</v>
      </c>
      <c r="C135" s="59" t="s">
        <v>14</v>
      </c>
      <c r="D135" s="58">
        <v>37.58</v>
      </c>
      <c r="E135" s="59">
        <f t="shared" ref="E135:E200" si="19">B135*D135</f>
        <v>127.77199999999999</v>
      </c>
      <c r="F135" s="59">
        <v>0</v>
      </c>
      <c r="G135" s="59">
        <f t="shared" si="5"/>
        <v>127.77199999999999</v>
      </c>
    </row>
    <row r="136" spans="1:7" ht="15.75" customHeight="1" x14ac:dyDescent="0.25">
      <c r="A136" s="58" t="s">
        <v>703</v>
      </c>
      <c r="B136" s="1">
        <v>1.6</v>
      </c>
      <c r="C136" s="59" t="s">
        <v>14</v>
      </c>
      <c r="D136" s="58">
        <v>37.950000000000003</v>
      </c>
      <c r="E136" s="59">
        <f t="shared" si="19"/>
        <v>60.720000000000006</v>
      </c>
      <c r="F136" s="59">
        <v>0</v>
      </c>
      <c r="G136" s="59">
        <f t="shared" si="5"/>
        <v>60.720000000000006</v>
      </c>
    </row>
    <row r="137" spans="1:7" ht="15.75" customHeight="1" x14ac:dyDescent="0.25">
      <c r="A137" s="58" t="s">
        <v>937</v>
      </c>
      <c r="B137" s="1">
        <v>0</v>
      </c>
      <c r="C137" s="59" t="s">
        <v>14</v>
      </c>
      <c r="D137" s="58">
        <v>125</v>
      </c>
      <c r="E137" s="59">
        <f t="shared" ref="E137" si="20">B137*D137</f>
        <v>0</v>
      </c>
      <c r="F137" s="59">
        <v>0</v>
      </c>
      <c r="G137" s="59">
        <f t="shared" ref="G137" si="21">B137*D137</f>
        <v>0</v>
      </c>
    </row>
    <row r="138" spans="1:7" ht="15.75" customHeight="1" x14ac:dyDescent="0.25">
      <c r="A138" s="58" t="s">
        <v>704</v>
      </c>
      <c r="B138" s="1">
        <v>0</v>
      </c>
      <c r="C138" s="59" t="s">
        <v>14</v>
      </c>
      <c r="D138" s="58">
        <v>38.5</v>
      </c>
      <c r="E138" s="59">
        <f t="shared" si="19"/>
        <v>0</v>
      </c>
      <c r="F138" s="59">
        <v>0</v>
      </c>
      <c r="G138" s="59">
        <f t="shared" si="5"/>
        <v>0</v>
      </c>
    </row>
    <row r="139" spans="1:7" ht="15.75" customHeight="1" x14ac:dyDescent="0.25">
      <c r="A139" s="58" t="s">
        <v>705</v>
      </c>
      <c r="B139" s="1">
        <v>0</v>
      </c>
      <c r="C139" s="59" t="s">
        <v>14</v>
      </c>
      <c r="D139" s="58">
        <v>126.38</v>
      </c>
      <c r="E139" s="59">
        <f t="shared" si="19"/>
        <v>0</v>
      </c>
      <c r="F139" s="59">
        <v>0</v>
      </c>
      <c r="G139" s="59">
        <f t="shared" si="5"/>
        <v>0</v>
      </c>
    </row>
    <row r="140" spans="1:7" ht="15.75" customHeight="1" x14ac:dyDescent="0.25">
      <c r="A140" s="58" t="s">
        <v>706</v>
      </c>
      <c r="B140" s="1">
        <v>0</v>
      </c>
      <c r="C140" s="59" t="s">
        <v>14</v>
      </c>
      <c r="D140" s="58">
        <v>140</v>
      </c>
      <c r="E140" s="59">
        <f t="shared" si="19"/>
        <v>0</v>
      </c>
      <c r="F140" s="59">
        <v>0</v>
      </c>
      <c r="G140" s="59">
        <f t="shared" si="5"/>
        <v>0</v>
      </c>
    </row>
    <row r="141" spans="1:7" ht="15.75" customHeight="1" x14ac:dyDescent="0.25">
      <c r="A141" s="58" t="s">
        <v>707</v>
      </c>
      <c r="B141" s="1">
        <v>0</v>
      </c>
      <c r="C141" s="59" t="s">
        <v>14</v>
      </c>
      <c r="D141" s="58">
        <v>39.9</v>
      </c>
      <c r="E141" s="59">
        <f t="shared" si="19"/>
        <v>0</v>
      </c>
      <c r="F141" s="59">
        <v>0</v>
      </c>
      <c r="G141" s="59">
        <f t="shared" si="5"/>
        <v>0</v>
      </c>
    </row>
    <row r="142" spans="1:7" ht="15.75" customHeight="1" x14ac:dyDescent="0.25">
      <c r="A142" s="58" t="s">
        <v>708</v>
      </c>
      <c r="B142" s="1">
        <v>0</v>
      </c>
      <c r="C142" s="59" t="s">
        <v>14</v>
      </c>
      <c r="D142" s="58">
        <v>112.59</v>
      </c>
      <c r="E142" s="59">
        <f t="shared" si="19"/>
        <v>0</v>
      </c>
      <c r="F142" s="59">
        <v>0</v>
      </c>
      <c r="G142" s="59">
        <f t="shared" si="5"/>
        <v>0</v>
      </c>
    </row>
    <row r="143" spans="1:7" ht="15.75" customHeight="1" x14ac:dyDescent="0.25">
      <c r="A143" s="58" t="s">
        <v>709</v>
      </c>
      <c r="B143" s="1">
        <v>0</v>
      </c>
      <c r="C143" s="59" t="s">
        <v>14</v>
      </c>
      <c r="D143" s="58">
        <v>407.91</v>
      </c>
      <c r="E143" s="59">
        <f t="shared" si="19"/>
        <v>0</v>
      </c>
      <c r="F143" s="59">
        <v>0</v>
      </c>
      <c r="G143" s="59">
        <f t="shared" si="5"/>
        <v>0</v>
      </c>
    </row>
    <row r="144" spans="1:7" ht="15.75" customHeight="1" x14ac:dyDescent="0.25">
      <c r="A144" s="58" t="s">
        <v>710</v>
      </c>
      <c r="B144" s="1">
        <v>0</v>
      </c>
      <c r="C144" s="59" t="s">
        <v>14</v>
      </c>
      <c r="D144" s="58">
        <v>382.27</v>
      </c>
      <c r="E144" s="59">
        <f t="shared" si="19"/>
        <v>0</v>
      </c>
      <c r="F144" s="59">
        <v>0</v>
      </c>
      <c r="G144" s="59">
        <f t="shared" si="5"/>
        <v>0</v>
      </c>
    </row>
    <row r="145" spans="1:7" ht="15.75" customHeight="1" x14ac:dyDescent="0.25">
      <c r="A145" s="58" t="s">
        <v>711</v>
      </c>
      <c r="B145" s="1">
        <v>0</v>
      </c>
      <c r="C145" s="59" t="s">
        <v>14</v>
      </c>
      <c r="D145" s="58">
        <v>32.99</v>
      </c>
      <c r="E145" s="59">
        <f t="shared" si="19"/>
        <v>0</v>
      </c>
      <c r="F145" s="59">
        <v>0</v>
      </c>
      <c r="G145" s="59">
        <f t="shared" si="5"/>
        <v>0</v>
      </c>
    </row>
    <row r="146" spans="1:7" ht="15.75" customHeight="1" x14ac:dyDescent="0.25">
      <c r="A146" s="58" t="s">
        <v>712</v>
      </c>
      <c r="B146" s="1">
        <v>0</v>
      </c>
      <c r="C146" s="59" t="s">
        <v>14</v>
      </c>
      <c r="D146" s="58">
        <v>90.02</v>
      </c>
      <c r="E146" s="59">
        <f t="shared" si="19"/>
        <v>0</v>
      </c>
      <c r="F146" s="59">
        <v>0</v>
      </c>
      <c r="G146" s="59">
        <f t="shared" si="5"/>
        <v>0</v>
      </c>
    </row>
    <row r="147" spans="1:7" ht="15.75" customHeight="1" x14ac:dyDescent="0.25">
      <c r="A147" s="58" t="s">
        <v>713</v>
      </c>
      <c r="B147" s="1">
        <v>0</v>
      </c>
      <c r="C147" s="59" t="s">
        <v>14</v>
      </c>
      <c r="D147" s="58">
        <v>90.02</v>
      </c>
      <c r="E147" s="59">
        <f t="shared" si="19"/>
        <v>0</v>
      </c>
      <c r="F147" s="59">
        <v>0</v>
      </c>
      <c r="G147" s="59">
        <f t="shared" si="5"/>
        <v>0</v>
      </c>
    </row>
    <row r="148" spans="1:7" ht="15.75" customHeight="1" x14ac:dyDescent="0.25">
      <c r="A148" s="58" t="s">
        <v>714</v>
      </c>
      <c r="B148" s="1">
        <v>2.7</v>
      </c>
      <c r="C148" s="59" t="s">
        <v>14</v>
      </c>
      <c r="D148" s="58">
        <v>99</v>
      </c>
      <c r="E148" s="59">
        <f t="shared" si="19"/>
        <v>267.3</v>
      </c>
      <c r="F148" s="59">
        <v>0</v>
      </c>
      <c r="G148" s="59">
        <f t="shared" si="5"/>
        <v>267.3</v>
      </c>
    </row>
    <row r="149" spans="1:7" ht="15.75" customHeight="1" x14ac:dyDescent="0.25">
      <c r="A149" s="58" t="s">
        <v>715</v>
      </c>
      <c r="B149" s="1">
        <v>2.6</v>
      </c>
      <c r="C149" s="59" t="s">
        <v>14</v>
      </c>
      <c r="D149" s="58">
        <v>95.99</v>
      </c>
      <c r="E149" s="59">
        <f t="shared" si="19"/>
        <v>249.57399999999998</v>
      </c>
      <c r="F149" s="59">
        <v>0</v>
      </c>
      <c r="G149" s="59">
        <f t="shared" si="5"/>
        <v>249.57399999999998</v>
      </c>
    </row>
    <row r="150" spans="1:7" ht="15.75" customHeight="1" x14ac:dyDescent="0.25">
      <c r="A150" s="58" t="s">
        <v>716</v>
      </c>
      <c r="B150" s="1">
        <v>0</v>
      </c>
      <c r="C150" s="59" t="s">
        <v>14</v>
      </c>
      <c r="D150" s="58">
        <v>195</v>
      </c>
      <c r="E150" s="59">
        <f t="shared" si="19"/>
        <v>0</v>
      </c>
      <c r="F150" s="59">
        <v>0</v>
      </c>
      <c r="G150" s="59">
        <f t="shared" si="5"/>
        <v>0</v>
      </c>
    </row>
    <row r="151" spans="1:7" ht="15.75" customHeight="1" x14ac:dyDescent="0.25">
      <c r="A151" s="58" t="s">
        <v>717</v>
      </c>
      <c r="B151" s="1">
        <v>0</v>
      </c>
      <c r="C151" s="59" t="s">
        <v>14</v>
      </c>
      <c r="D151" s="58">
        <v>88.9</v>
      </c>
      <c r="E151" s="59">
        <f t="shared" si="19"/>
        <v>0</v>
      </c>
      <c r="F151" s="59">
        <v>0</v>
      </c>
      <c r="G151" s="59">
        <f t="shared" si="5"/>
        <v>0</v>
      </c>
    </row>
    <row r="152" spans="1:7" ht="15.75" customHeight="1" x14ac:dyDescent="0.25">
      <c r="A152" s="58" t="s">
        <v>718</v>
      </c>
      <c r="B152" s="1">
        <v>0</v>
      </c>
      <c r="C152" s="59" t="s">
        <v>14</v>
      </c>
      <c r="D152" s="58">
        <v>249.37</v>
      </c>
      <c r="E152" s="59">
        <f t="shared" si="19"/>
        <v>0</v>
      </c>
      <c r="F152" s="59">
        <v>0</v>
      </c>
      <c r="G152" s="59">
        <f t="shared" si="5"/>
        <v>0</v>
      </c>
    </row>
    <row r="153" spans="1:7" ht="15.75" customHeight="1" x14ac:dyDescent="0.25">
      <c r="A153" s="58" t="s">
        <v>902</v>
      </c>
      <c r="B153" s="1">
        <v>0</v>
      </c>
      <c r="C153" s="59" t="s">
        <v>14</v>
      </c>
      <c r="D153" s="58">
        <v>265</v>
      </c>
      <c r="E153" s="59">
        <f t="shared" si="19"/>
        <v>0</v>
      </c>
      <c r="F153" s="59">
        <v>0</v>
      </c>
      <c r="G153" s="59">
        <f t="shared" si="5"/>
        <v>0</v>
      </c>
    </row>
    <row r="154" spans="1:7" ht="15.75" customHeight="1" x14ac:dyDescent="0.25">
      <c r="A154" s="58" t="s">
        <v>719</v>
      </c>
      <c r="B154" s="1">
        <v>0</v>
      </c>
      <c r="C154" s="59" t="s">
        <v>14</v>
      </c>
      <c r="D154" s="58">
        <v>73.760000000000005</v>
      </c>
      <c r="E154" s="59">
        <f t="shared" si="19"/>
        <v>0</v>
      </c>
      <c r="F154" s="59">
        <v>0</v>
      </c>
      <c r="G154" s="59">
        <f t="shared" si="5"/>
        <v>0</v>
      </c>
    </row>
    <row r="155" spans="1:7" ht="15.75" customHeight="1" x14ac:dyDescent="0.25">
      <c r="A155" s="58" t="s">
        <v>720</v>
      </c>
      <c r="B155" s="1">
        <v>1</v>
      </c>
      <c r="C155" s="59" t="s">
        <v>14</v>
      </c>
      <c r="D155" s="58">
        <v>26.81</v>
      </c>
      <c r="E155" s="59">
        <f t="shared" si="19"/>
        <v>26.81</v>
      </c>
      <c r="F155" s="59">
        <v>0</v>
      </c>
      <c r="G155" s="59">
        <f t="shared" si="5"/>
        <v>26.81</v>
      </c>
    </row>
    <row r="156" spans="1:7" ht="15.75" customHeight="1" x14ac:dyDescent="0.25">
      <c r="A156" s="58" t="s">
        <v>721</v>
      </c>
      <c r="B156" s="1">
        <v>2</v>
      </c>
      <c r="C156" s="59" t="s">
        <v>14</v>
      </c>
      <c r="D156" s="58">
        <v>23.79</v>
      </c>
      <c r="E156" s="59">
        <f t="shared" si="19"/>
        <v>47.58</v>
      </c>
      <c r="F156" s="59">
        <v>0</v>
      </c>
      <c r="G156" s="59">
        <f t="shared" si="5"/>
        <v>47.58</v>
      </c>
    </row>
    <row r="157" spans="1:7" ht="15.75" customHeight="1" x14ac:dyDescent="0.25">
      <c r="A157" s="58" t="s">
        <v>722</v>
      </c>
      <c r="B157" s="1">
        <v>0</v>
      </c>
      <c r="C157" s="59" t="s">
        <v>14</v>
      </c>
      <c r="D157" s="58">
        <v>67.459999999999994</v>
      </c>
      <c r="E157" s="59">
        <f t="shared" si="19"/>
        <v>0</v>
      </c>
      <c r="F157" s="59">
        <v>0</v>
      </c>
      <c r="G157" s="59">
        <f t="shared" si="5"/>
        <v>0</v>
      </c>
    </row>
    <row r="158" spans="1:7" ht="15.75" customHeight="1" x14ac:dyDescent="0.25">
      <c r="A158" s="58" t="s">
        <v>723</v>
      </c>
      <c r="B158" s="1">
        <v>5</v>
      </c>
      <c r="C158" s="59" t="s">
        <v>14</v>
      </c>
      <c r="D158" s="58">
        <v>62.9</v>
      </c>
      <c r="E158" s="59">
        <f t="shared" si="19"/>
        <v>314.5</v>
      </c>
      <c r="F158" s="59">
        <v>0</v>
      </c>
      <c r="G158" s="59">
        <f t="shared" si="5"/>
        <v>314.5</v>
      </c>
    </row>
    <row r="159" spans="1:7" ht="15.75" customHeight="1" x14ac:dyDescent="0.25">
      <c r="A159" s="58" t="s">
        <v>724</v>
      </c>
      <c r="B159" s="1">
        <v>0</v>
      </c>
      <c r="C159" s="59" t="s">
        <v>14</v>
      </c>
      <c r="D159" s="58">
        <v>131.41999999999999</v>
      </c>
      <c r="E159" s="59">
        <f t="shared" si="19"/>
        <v>0</v>
      </c>
      <c r="F159" s="59">
        <v>0</v>
      </c>
      <c r="G159" s="59">
        <f t="shared" si="5"/>
        <v>0</v>
      </c>
    </row>
    <row r="160" spans="1:7" ht="15.75" customHeight="1" x14ac:dyDescent="0.25">
      <c r="A160" s="58" t="s">
        <v>725</v>
      </c>
      <c r="B160" s="1">
        <v>0</v>
      </c>
      <c r="C160" s="59" t="s">
        <v>14</v>
      </c>
      <c r="D160" s="58">
        <v>61.9</v>
      </c>
      <c r="E160" s="59">
        <f t="shared" si="19"/>
        <v>0</v>
      </c>
      <c r="F160" s="59">
        <v>0</v>
      </c>
      <c r="G160" s="59">
        <f t="shared" si="5"/>
        <v>0</v>
      </c>
    </row>
    <row r="161" spans="1:7" ht="15.75" customHeight="1" x14ac:dyDescent="0.25">
      <c r="A161" s="58" t="s">
        <v>726</v>
      </c>
      <c r="B161" s="1">
        <v>0</v>
      </c>
      <c r="C161" s="59" t="s">
        <v>14</v>
      </c>
      <c r="D161" s="58">
        <v>95.73</v>
      </c>
      <c r="E161" s="59">
        <f t="shared" si="19"/>
        <v>0</v>
      </c>
      <c r="F161" s="59">
        <v>0</v>
      </c>
      <c r="G161" s="59">
        <f t="shared" si="5"/>
        <v>0</v>
      </c>
    </row>
    <row r="162" spans="1:7" ht="15.75" customHeight="1" x14ac:dyDescent="0.25">
      <c r="A162" s="58" t="s">
        <v>727</v>
      </c>
      <c r="B162" s="1">
        <v>0</v>
      </c>
      <c r="C162" s="59" t="s">
        <v>14</v>
      </c>
      <c r="D162" s="58">
        <v>148.54</v>
      </c>
      <c r="E162" s="59">
        <f t="shared" si="19"/>
        <v>0</v>
      </c>
      <c r="F162" s="59"/>
      <c r="G162" s="59">
        <f t="shared" si="5"/>
        <v>0</v>
      </c>
    </row>
    <row r="163" spans="1:7" ht="15.75" customHeight="1" x14ac:dyDescent="0.25">
      <c r="A163" s="58" t="s">
        <v>728</v>
      </c>
      <c r="B163" s="1">
        <v>0</v>
      </c>
      <c r="C163" s="59" t="s">
        <v>14</v>
      </c>
      <c r="D163" s="58">
        <v>72.040000000000006</v>
      </c>
      <c r="E163" s="59">
        <f t="shared" si="19"/>
        <v>0</v>
      </c>
      <c r="F163" s="59">
        <v>0</v>
      </c>
      <c r="G163" s="59">
        <f t="shared" si="5"/>
        <v>0</v>
      </c>
    </row>
    <row r="164" spans="1:7" ht="15.75" customHeight="1" x14ac:dyDescent="0.25">
      <c r="A164" s="58" t="s">
        <v>729</v>
      </c>
      <c r="B164" s="1">
        <v>0</v>
      </c>
      <c r="C164" s="59" t="s">
        <v>14</v>
      </c>
      <c r="D164" s="58">
        <v>108.99</v>
      </c>
      <c r="E164" s="59">
        <f t="shared" si="19"/>
        <v>0</v>
      </c>
      <c r="F164" s="59">
        <v>0</v>
      </c>
      <c r="G164" s="59">
        <f t="shared" si="5"/>
        <v>0</v>
      </c>
    </row>
    <row r="165" spans="1:7" ht="15.75" customHeight="1" x14ac:dyDescent="0.25">
      <c r="A165" s="58" t="s">
        <v>730</v>
      </c>
      <c r="B165" s="1">
        <v>0</v>
      </c>
      <c r="C165" s="59" t="s">
        <v>14</v>
      </c>
      <c r="D165" s="58">
        <v>95.73</v>
      </c>
      <c r="E165" s="59">
        <f t="shared" si="19"/>
        <v>0</v>
      </c>
      <c r="F165" s="59">
        <v>0</v>
      </c>
      <c r="G165" s="59">
        <f t="shared" si="5"/>
        <v>0</v>
      </c>
    </row>
    <row r="166" spans="1:7" ht="15.75" customHeight="1" x14ac:dyDescent="0.25">
      <c r="A166" s="58" t="s">
        <v>731</v>
      </c>
      <c r="B166" s="1">
        <v>0</v>
      </c>
      <c r="C166" s="59" t="s">
        <v>14</v>
      </c>
      <c r="D166" s="58">
        <v>101.32</v>
      </c>
      <c r="E166" s="59">
        <f t="shared" si="19"/>
        <v>0</v>
      </c>
      <c r="F166" s="59">
        <v>0</v>
      </c>
      <c r="G166" s="59">
        <f t="shared" si="5"/>
        <v>0</v>
      </c>
    </row>
    <row r="167" spans="1:7" ht="15.75" customHeight="1" x14ac:dyDescent="0.25">
      <c r="A167" s="58" t="s">
        <v>732</v>
      </c>
      <c r="B167" s="1">
        <v>0</v>
      </c>
      <c r="C167" s="59" t="s">
        <v>14</v>
      </c>
      <c r="D167" s="58">
        <v>116.47</v>
      </c>
      <c r="E167" s="59">
        <f t="shared" si="19"/>
        <v>0</v>
      </c>
      <c r="F167" s="59">
        <v>0</v>
      </c>
      <c r="G167" s="59">
        <f t="shared" si="5"/>
        <v>0</v>
      </c>
    </row>
    <row r="168" spans="1:7" ht="15.75" customHeight="1" x14ac:dyDescent="0.25">
      <c r="A168" s="58" t="s">
        <v>949</v>
      </c>
      <c r="B168" s="1">
        <v>0</v>
      </c>
      <c r="C168" s="59" t="s">
        <v>14</v>
      </c>
      <c r="D168" s="58">
        <v>5</v>
      </c>
      <c r="E168" s="59">
        <f t="shared" si="19"/>
        <v>0</v>
      </c>
      <c r="F168" s="59">
        <v>0</v>
      </c>
      <c r="G168" s="59">
        <f t="shared" si="5"/>
        <v>0</v>
      </c>
    </row>
    <row r="169" spans="1:7" ht="15.75" customHeight="1" x14ac:dyDescent="0.25">
      <c r="A169" s="58" t="s">
        <v>733</v>
      </c>
      <c r="B169" s="1">
        <v>1.5</v>
      </c>
      <c r="C169" s="59" t="s">
        <v>14</v>
      </c>
      <c r="D169" s="58">
        <v>83.05</v>
      </c>
      <c r="E169" s="59">
        <f t="shared" si="19"/>
        <v>124.57499999999999</v>
      </c>
      <c r="F169" s="59"/>
      <c r="G169" s="59">
        <f t="shared" si="5"/>
        <v>124.57499999999999</v>
      </c>
    </row>
    <row r="170" spans="1:7" ht="15.75" customHeight="1" x14ac:dyDescent="0.25">
      <c r="A170" s="58" t="s">
        <v>734</v>
      </c>
      <c r="B170" s="1">
        <v>0</v>
      </c>
      <c r="C170" s="59" t="s">
        <v>14</v>
      </c>
      <c r="D170" s="58">
        <v>77.94</v>
      </c>
      <c r="E170" s="59">
        <f t="shared" si="19"/>
        <v>0</v>
      </c>
      <c r="F170" s="59"/>
      <c r="G170" s="59">
        <f t="shared" si="5"/>
        <v>0</v>
      </c>
    </row>
    <row r="171" spans="1:7" ht="15.75" customHeight="1" x14ac:dyDescent="0.25">
      <c r="A171" s="58" t="s">
        <v>735</v>
      </c>
      <c r="B171" s="1">
        <v>0</v>
      </c>
      <c r="C171" s="59" t="s">
        <v>14</v>
      </c>
      <c r="D171" s="58">
        <v>77.94</v>
      </c>
      <c r="E171" s="59">
        <f t="shared" si="19"/>
        <v>0</v>
      </c>
      <c r="F171" s="59">
        <v>0</v>
      </c>
      <c r="G171" s="59">
        <f t="shared" si="5"/>
        <v>0</v>
      </c>
    </row>
    <row r="172" spans="1:7" ht="15.75" customHeight="1" x14ac:dyDescent="0.25">
      <c r="A172" s="58" t="s">
        <v>736</v>
      </c>
      <c r="B172" s="1">
        <v>0</v>
      </c>
      <c r="C172" s="59" t="s">
        <v>14</v>
      </c>
      <c r="D172" s="58">
        <v>77.94</v>
      </c>
      <c r="E172" s="59">
        <f t="shared" si="19"/>
        <v>0</v>
      </c>
      <c r="F172" s="59">
        <v>0</v>
      </c>
      <c r="G172" s="59">
        <f t="shared" si="5"/>
        <v>0</v>
      </c>
    </row>
    <row r="173" spans="1:7" ht="15.75" customHeight="1" x14ac:dyDescent="0.25">
      <c r="A173" s="58" t="s">
        <v>737</v>
      </c>
      <c r="B173" s="1">
        <v>57.9</v>
      </c>
      <c r="C173" s="59" t="s">
        <v>14</v>
      </c>
      <c r="D173" s="58">
        <v>22.9</v>
      </c>
      <c r="E173" s="59">
        <f t="shared" si="19"/>
        <v>1325.9099999999999</v>
      </c>
      <c r="F173" s="59">
        <v>0</v>
      </c>
      <c r="G173" s="59">
        <f t="shared" si="5"/>
        <v>1325.9099999999999</v>
      </c>
    </row>
    <row r="174" spans="1:7" ht="15.75" customHeight="1" x14ac:dyDescent="0.25">
      <c r="A174" s="58" t="s">
        <v>738</v>
      </c>
      <c r="B174" s="1">
        <v>0</v>
      </c>
      <c r="C174" s="59" t="s">
        <v>14</v>
      </c>
      <c r="D174" s="58">
        <v>31</v>
      </c>
      <c r="E174" s="59">
        <f t="shared" si="19"/>
        <v>0</v>
      </c>
      <c r="F174" s="59">
        <v>0</v>
      </c>
      <c r="G174" s="59">
        <f t="shared" si="5"/>
        <v>0</v>
      </c>
    </row>
    <row r="175" spans="1:7" ht="15.75" customHeight="1" x14ac:dyDescent="0.25">
      <c r="A175" s="58" t="s">
        <v>739</v>
      </c>
      <c r="B175" s="1">
        <v>0</v>
      </c>
      <c r="C175" s="59" t="s">
        <v>14</v>
      </c>
      <c r="D175" s="58">
        <v>0</v>
      </c>
      <c r="E175" s="59">
        <f t="shared" si="19"/>
        <v>0</v>
      </c>
      <c r="F175" s="59">
        <v>0</v>
      </c>
      <c r="G175" s="59">
        <f t="shared" si="5"/>
        <v>0</v>
      </c>
    </row>
    <row r="176" spans="1:7" ht="15.75" customHeight="1" x14ac:dyDescent="0.25">
      <c r="A176" s="58" t="s">
        <v>740</v>
      </c>
      <c r="B176" s="1">
        <v>0</v>
      </c>
      <c r="C176" s="59" t="s">
        <v>14</v>
      </c>
      <c r="D176" s="58">
        <v>54.9</v>
      </c>
      <c r="E176" s="59">
        <f t="shared" si="19"/>
        <v>0</v>
      </c>
      <c r="F176" s="59">
        <v>0</v>
      </c>
      <c r="G176" s="59">
        <f t="shared" si="5"/>
        <v>0</v>
      </c>
    </row>
    <row r="177" spans="1:7" ht="15.75" customHeight="1" x14ac:dyDescent="0.25">
      <c r="A177" s="58" t="s">
        <v>741</v>
      </c>
      <c r="B177" s="1">
        <v>0</v>
      </c>
      <c r="C177" s="59" t="s">
        <v>14</v>
      </c>
      <c r="D177" s="58">
        <v>115.24</v>
      </c>
      <c r="E177" s="59">
        <f t="shared" si="19"/>
        <v>0</v>
      </c>
      <c r="F177" s="59">
        <v>0</v>
      </c>
      <c r="G177" s="59">
        <f t="shared" si="5"/>
        <v>0</v>
      </c>
    </row>
    <row r="178" spans="1:7" ht="15.75" customHeight="1" x14ac:dyDescent="0.25">
      <c r="A178" s="58" t="s">
        <v>742</v>
      </c>
      <c r="B178" s="1">
        <v>0</v>
      </c>
      <c r="C178" s="59" t="s">
        <v>14</v>
      </c>
      <c r="D178" s="58">
        <v>118.08</v>
      </c>
      <c r="E178" s="59">
        <f t="shared" si="19"/>
        <v>0</v>
      </c>
      <c r="F178" s="59">
        <v>0</v>
      </c>
      <c r="G178" s="59">
        <f t="shared" si="5"/>
        <v>0</v>
      </c>
    </row>
    <row r="179" spans="1:7" ht="15.75" customHeight="1" x14ac:dyDescent="0.25">
      <c r="A179" s="58" t="s">
        <v>743</v>
      </c>
      <c r="B179" s="1">
        <v>1.1000000000000001</v>
      </c>
      <c r="C179" s="59" t="s">
        <v>14</v>
      </c>
      <c r="D179" s="58">
        <v>132.44999999999999</v>
      </c>
      <c r="E179" s="59">
        <f t="shared" si="19"/>
        <v>145.69499999999999</v>
      </c>
      <c r="F179" s="59">
        <v>0</v>
      </c>
      <c r="G179" s="59">
        <f t="shared" si="5"/>
        <v>145.69499999999999</v>
      </c>
    </row>
    <row r="180" spans="1:7" ht="15.75" customHeight="1" x14ac:dyDescent="0.25">
      <c r="A180" s="58" t="s">
        <v>744</v>
      </c>
      <c r="B180" s="1">
        <v>2.7</v>
      </c>
      <c r="C180" s="59" t="s">
        <v>14</v>
      </c>
      <c r="D180" s="58">
        <v>103.92</v>
      </c>
      <c r="E180" s="59">
        <f>B180*D180</f>
        <v>280.584</v>
      </c>
      <c r="F180" s="59">
        <v>0</v>
      </c>
      <c r="G180" s="59">
        <f t="shared" si="5"/>
        <v>280.584</v>
      </c>
    </row>
    <row r="181" spans="1:7" ht="15.75" customHeight="1" x14ac:dyDescent="0.25">
      <c r="A181" s="58" t="s">
        <v>745</v>
      </c>
      <c r="B181" s="1">
        <v>0.2</v>
      </c>
      <c r="C181" s="59" t="s">
        <v>14</v>
      </c>
      <c r="D181" s="58">
        <v>330.19</v>
      </c>
      <c r="E181" s="59">
        <f t="shared" si="19"/>
        <v>66.037999999999997</v>
      </c>
      <c r="F181" s="59">
        <v>0</v>
      </c>
      <c r="G181" s="59">
        <f t="shared" si="5"/>
        <v>66.037999999999997</v>
      </c>
    </row>
    <row r="182" spans="1:7" ht="15.75" customHeight="1" x14ac:dyDescent="0.25">
      <c r="A182" s="58" t="s">
        <v>928</v>
      </c>
      <c r="B182" s="1">
        <v>0</v>
      </c>
      <c r="C182" s="59" t="s">
        <v>14</v>
      </c>
      <c r="D182" s="58">
        <v>1100</v>
      </c>
      <c r="E182" s="59">
        <f t="shared" ref="E182" si="22">B182*D182</f>
        <v>0</v>
      </c>
      <c r="F182" s="59">
        <v>0</v>
      </c>
      <c r="G182" s="59">
        <f t="shared" ref="G182" si="23">B182*D182</f>
        <v>0</v>
      </c>
    </row>
    <row r="183" spans="1:7" ht="15.75" customHeight="1" x14ac:dyDescent="0.25">
      <c r="A183" s="58" t="s">
        <v>746</v>
      </c>
      <c r="B183" s="1">
        <v>0</v>
      </c>
      <c r="C183" s="59" t="s">
        <v>14</v>
      </c>
      <c r="D183" s="58">
        <v>136.46</v>
      </c>
      <c r="E183" s="59">
        <f t="shared" si="19"/>
        <v>0</v>
      </c>
      <c r="F183" s="59">
        <v>0</v>
      </c>
      <c r="G183" s="59">
        <f t="shared" si="5"/>
        <v>0</v>
      </c>
    </row>
    <row r="184" spans="1:7" ht="15.75" customHeight="1" x14ac:dyDescent="0.25">
      <c r="A184" s="58" t="s">
        <v>747</v>
      </c>
      <c r="B184" s="1">
        <v>0</v>
      </c>
      <c r="C184" s="59" t="s">
        <v>14</v>
      </c>
      <c r="D184" s="58">
        <v>199.01</v>
      </c>
      <c r="E184" s="59">
        <f t="shared" si="19"/>
        <v>0</v>
      </c>
      <c r="F184" s="59">
        <v>0</v>
      </c>
      <c r="G184" s="59">
        <f t="shared" si="5"/>
        <v>0</v>
      </c>
    </row>
    <row r="185" spans="1:7" ht="15.75" customHeight="1" x14ac:dyDescent="0.25">
      <c r="A185" s="58" t="s">
        <v>748</v>
      </c>
      <c r="B185" s="1">
        <v>0</v>
      </c>
      <c r="C185" s="69" t="s">
        <v>14</v>
      </c>
      <c r="D185" s="58">
        <v>290.89999999999998</v>
      </c>
      <c r="E185" s="59">
        <f t="shared" si="19"/>
        <v>0</v>
      </c>
      <c r="F185" s="59">
        <v>0</v>
      </c>
      <c r="G185" s="59">
        <f t="shared" si="5"/>
        <v>0</v>
      </c>
    </row>
    <row r="186" spans="1:7" ht="15.75" customHeight="1" x14ac:dyDescent="0.25">
      <c r="A186" s="58" t="s">
        <v>749</v>
      </c>
      <c r="B186" s="1">
        <v>0</v>
      </c>
      <c r="C186" s="59" t="s">
        <v>14</v>
      </c>
      <c r="D186" s="58">
        <v>699.99</v>
      </c>
      <c r="E186" s="59">
        <f t="shared" si="19"/>
        <v>0</v>
      </c>
      <c r="F186" s="59">
        <v>0</v>
      </c>
      <c r="G186" s="59">
        <f t="shared" si="5"/>
        <v>0</v>
      </c>
    </row>
    <row r="187" spans="1:7" ht="15.75" customHeight="1" x14ac:dyDescent="0.25">
      <c r="A187" s="58" t="s">
        <v>750</v>
      </c>
      <c r="B187" s="1">
        <v>0</v>
      </c>
      <c r="C187" s="59" t="s">
        <v>14</v>
      </c>
      <c r="D187" s="58">
        <v>293.89</v>
      </c>
      <c r="E187" s="59">
        <f t="shared" si="19"/>
        <v>0</v>
      </c>
      <c r="F187" s="59">
        <v>0</v>
      </c>
      <c r="G187" s="59">
        <f t="shared" si="5"/>
        <v>0</v>
      </c>
    </row>
    <row r="188" spans="1:7" ht="15.75" customHeight="1" x14ac:dyDescent="0.25">
      <c r="A188" s="58" t="s">
        <v>751</v>
      </c>
      <c r="B188" s="1">
        <v>0</v>
      </c>
      <c r="C188" s="59" t="s">
        <v>14</v>
      </c>
      <c r="D188" s="58">
        <v>1020</v>
      </c>
      <c r="E188" s="59">
        <f t="shared" si="19"/>
        <v>0</v>
      </c>
      <c r="F188" s="59">
        <v>0</v>
      </c>
      <c r="G188" s="59">
        <f t="shared" si="5"/>
        <v>0</v>
      </c>
    </row>
    <row r="189" spans="1:7" ht="15.75" customHeight="1" x14ac:dyDescent="0.25">
      <c r="A189" s="58" t="s">
        <v>752</v>
      </c>
      <c r="B189" s="1">
        <v>0</v>
      </c>
      <c r="C189" s="59" t="s">
        <v>14</v>
      </c>
      <c r="D189" s="58">
        <v>59.9</v>
      </c>
      <c r="E189" s="59">
        <f t="shared" si="19"/>
        <v>0</v>
      </c>
      <c r="F189" s="59">
        <v>0</v>
      </c>
      <c r="G189" s="59">
        <f t="shared" si="5"/>
        <v>0</v>
      </c>
    </row>
    <row r="190" spans="1:7" ht="15.75" customHeight="1" x14ac:dyDescent="0.25">
      <c r="A190" s="58" t="s">
        <v>753</v>
      </c>
      <c r="B190" s="1">
        <v>0</v>
      </c>
      <c r="C190" s="59" t="s">
        <v>14</v>
      </c>
      <c r="D190" s="58">
        <v>99.46</v>
      </c>
      <c r="E190" s="59">
        <f t="shared" si="19"/>
        <v>0</v>
      </c>
      <c r="F190" s="59">
        <v>0</v>
      </c>
      <c r="G190" s="59">
        <f t="shared" si="5"/>
        <v>0</v>
      </c>
    </row>
    <row r="191" spans="1:7" ht="15.75" customHeight="1" x14ac:dyDescent="0.25">
      <c r="A191" s="58" t="s">
        <v>754</v>
      </c>
      <c r="B191" s="1">
        <v>0</v>
      </c>
      <c r="C191" s="59" t="s">
        <v>14</v>
      </c>
      <c r="D191" s="58">
        <v>658.99</v>
      </c>
      <c r="E191" s="59">
        <f t="shared" si="19"/>
        <v>0</v>
      </c>
      <c r="F191" s="59">
        <v>0</v>
      </c>
      <c r="G191" s="59">
        <f t="shared" si="5"/>
        <v>0</v>
      </c>
    </row>
    <row r="192" spans="1:7" ht="15.75" customHeight="1" x14ac:dyDescent="0.25">
      <c r="A192" s="58" t="s">
        <v>755</v>
      </c>
      <c r="B192" s="1">
        <v>0</v>
      </c>
      <c r="C192" s="59" t="s">
        <v>14</v>
      </c>
      <c r="D192" s="58">
        <v>139.97999999999999</v>
      </c>
      <c r="E192" s="59">
        <f t="shared" si="19"/>
        <v>0</v>
      </c>
      <c r="F192" s="59">
        <v>0</v>
      </c>
      <c r="G192" s="59">
        <f t="shared" si="5"/>
        <v>0</v>
      </c>
    </row>
    <row r="193" spans="1:10" ht="15.75" customHeight="1" x14ac:dyDescent="0.25">
      <c r="A193" s="58" t="s">
        <v>756</v>
      </c>
      <c r="B193" s="1">
        <v>0</v>
      </c>
      <c r="C193" s="59" t="s">
        <v>14</v>
      </c>
      <c r="D193" s="58">
        <v>76.58</v>
      </c>
      <c r="E193" s="59">
        <f t="shared" si="19"/>
        <v>0</v>
      </c>
      <c r="F193" s="59">
        <v>0</v>
      </c>
      <c r="G193" s="59">
        <f t="shared" si="5"/>
        <v>0</v>
      </c>
    </row>
    <row r="194" spans="1:10" ht="15.75" customHeight="1" x14ac:dyDescent="0.25">
      <c r="A194" s="58" t="s">
        <v>757</v>
      </c>
      <c r="B194" s="1">
        <v>1.4</v>
      </c>
      <c r="C194" s="59" t="s">
        <v>14</v>
      </c>
      <c r="D194" s="58">
        <v>118.88</v>
      </c>
      <c r="E194" s="59">
        <f t="shared" si="19"/>
        <v>166.43199999999999</v>
      </c>
      <c r="F194" s="59">
        <v>0</v>
      </c>
      <c r="G194" s="59">
        <f t="shared" si="5"/>
        <v>166.43199999999999</v>
      </c>
    </row>
    <row r="195" spans="1:10" ht="15.75" customHeight="1" x14ac:dyDescent="0.25">
      <c r="A195" s="58" t="s">
        <v>758</v>
      </c>
      <c r="B195" s="1">
        <v>0</v>
      </c>
      <c r="C195" s="59" t="s">
        <v>14</v>
      </c>
      <c r="D195" s="58">
        <v>129.9</v>
      </c>
      <c r="E195" s="59">
        <f t="shared" si="19"/>
        <v>0</v>
      </c>
      <c r="F195" s="59">
        <v>0</v>
      </c>
      <c r="G195" s="59">
        <f t="shared" si="5"/>
        <v>0</v>
      </c>
    </row>
    <row r="196" spans="1:10" ht="15.75" customHeight="1" x14ac:dyDescent="0.25">
      <c r="A196" s="58" t="s">
        <v>759</v>
      </c>
      <c r="B196" s="1">
        <v>1.8</v>
      </c>
      <c r="C196" s="59" t="s">
        <v>14</v>
      </c>
      <c r="D196" s="58">
        <v>132.9</v>
      </c>
      <c r="E196" s="59">
        <f t="shared" si="19"/>
        <v>239.22000000000003</v>
      </c>
      <c r="F196" s="59">
        <v>0</v>
      </c>
      <c r="G196" s="59">
        <f t="shared" si="5"/>
        <v>239.22000000000003</v>
      </c>
    </row>
    <row r="197" spans="1:10" ht="15.75" customHeight="1" x14ac:dyDescent="0.25">
      <c r="A197" s="58" t="s">
        <v>760</v>
      </c>
      <c r="B197" s="1">
        <v>1</v>
      </c>
      <c r="C197" s="59" t="s">
        <v>14</v>
      </c>
      <c r="D197" s="58">
        <v>122</v>
      </c>
      <c r="E197" s="59">
        <f>B197*D197</f>
        <v>122</v>
      </c>
      <c r="F197" s="59">
        <v>0</v>
      </c>
      <c r="G197" s="59">
        <f t="shared" si="5"/>
        <v>122</v>
      </c>
    </row>
    <row r="198" spans="1:10" ht="15.75" customHeight="1" x14ac:dyDescent="0.25">
      <c r="A198" s="58" t="s">
        <v>761</v>
      </c>
      <c r="B198" s="1">
        <v>1.5</v>
      </c>
      <c r="C198" s="69" t="s">
        <v>14</v>
      </c>
      <c r="D198" s="58">
        <v>179.9</v>
      </c>
      <c r="E198" s="59">
        <f t="shared" si="19"/>
        <v>269.85000000000002</v>
      </c>
      <c r="F198" s="69">
        <v>0</v>
      </c>
      <c r="G198" s="69">
        <v>0</v>
      </c>
      <c r="H198" s="71"/>
      <c r="I198" s="71"/>
      <c r="J198" s="71"/>
    </row>
    <row r="199" spans="1:10" ht="15.75" customHeight="1" x14ac:dyDescent="0.25">
      <c r="A199" s="58" t="s">
        <v>762</v>
      </c>
      <c r="B199" s="1">
        <v>0</v>
      </c>
      <c r="C199" s="59" t="s">
        <v>14</v>
      </c>
      <c r="D199" s="58">
        <v>94.9</v>
      </c>
      <c r="E199" s="59">
        <f t="shared" si="19"/>
        <v>0</v>
      </c>
      <c r="F199" s="59">
        <v>0</v>
      </c>
      <c r="G199" s="59">
        <f t="shared" ref="G199:G211" si="24">B199*D199</f>
        <v>0</v>
      </c>
    </row>
    <row r="200" spans="1:10" ht="15.75" customHeight="1" x14ac:dyDescent="0.25">
      <c r="A200" s="58" t="s">
        <v>763</v>
      </c>
      <c r="B200" s="1">
        <v>0</v>
      </c>
      <c r="C200" s="59" t="s">
        <v>14</v>
      </c>
      <c r="D200" s="58">
        <v>87.2</v>
      </c>
      <c r="E200" s="59">
        <f t="shared" si="19"/>
        <v>0</v>
      </c>
      <c r="F200" s="59">
        <v>0</v>
      </c>
      <c r="G200" s="59">
        <f t="shared" si="24"/>
        <v>0</v>
      </c>
    </row>
    <row r="201" spans="1:10" ht="15.75" customHeight="1" x14ac:dyDescent="0.25">
      <c r="A201" s="58" t="s">
        <v>764</v>
      </c>
      <c r="B201" s="1">
        <v>0</v>
      </c>
      <c r="C201" s="59" t="s">
        <v>14</v>
      </c>
      <c r="D201" s="58">
        <v>626.20000000000005</v>
      </c>
      <c r="E201" s="59">
        <f t="shared" ref="E201:E211" si="25">B201*D201</f>
        <v>0</v>
      </c>
      <c r="F201" s="59">
        <v>0</v>
      </c>
      <c r="G201" s="59">
        <f t="shared" si="24"/>
        <v>0</v>
      </c>
    </row>
    <row r="202" spans="1:10" ht="15.75" customHeight="1" x14ac:dyDescent="0.25">
      <c r="A202" s="58" t="s">
        <v>765</v>
      </c>
      <c r="B202" s="1">
        <v>3.3</v>
      </c>
      <c r="C202" s="59" t="s">
        <v>14</v>
      </c>
      <c r="D202" s="58">
        <v>122.9</v>
      </c>
      <c r="E202" s="59">
        <f t="shared" si="25"/>
        <v>405.57</v>
      </c>
      <c r="F202" s="59">
        <v>0</v>
      </c>
      <c r="G202" s="59">
        <f t="shared" si="24"/>
        <v>405.57</v>
      </c>
    </row>
    <row r="203" spans="1:10" ht="15.75" customHeight="1" x14ac:dyDescent="0.25">
      <c r="A203" s="58" t="s">
        <v>766</v>
      </c>
      <c r="B203" s="1">
        <v>0</v>
      </c>
      <c r="C203" s="59" t="s">
        <v>14</v>
      </c>
      <c r="D203" s="58">
        <v>1129.5</v>
      </c>
      <c r="E203" s="59">
        <f t="shared" si="25"/>
        <v>0</v>
      </c>
      <c r="F203" s="59">
        <v>0</v>
      </c>
      <c r="G203" s="59">
        <f t="shared" si="24"/>
        <v>0</v>
      </c>
    </row>
    <row r="204" spans="1:10" ht="15.75" customHeight="1" x14ac:dyDescent="0.25">
      <c r="A204" s="58" t="s">
        <v>767</v>
      </c>
      <c r="B204" s="1">
        <v>5.3</v>
      </c>
      <c r="C204" s="59" t="s">
        <v>14</v>
      </c>
      <c r="D204" s="58">
        <v>70.069999999999993</v>
      </c>
      <c r="E204" s="59">
        <f t="shared" si="25"/>
        <v>371.37099999999992</v>
      </c>
      <c r="F204" s="59">
        <v>0</v>
      </c>
      <c r="G204" s="59">
        <f t="shared" si="24"/>
        <v>371.37099999999992</v>
      </c>
    </row>
    <row r="205" spans="1:10" ht="15.75" customHeight="1" x14ac:dyDescent="0.25">
      <c r="A205" s="58" t="s">
        <v>768</v>
      </c>
      <c r="B205" s="1">
        <v>0</v>
      </c>
      <c r="C205" s="59" t="s">
        <v>14</v>
      </c>
      <c r="D205" s="58">
        <v>0</v>
      </c>
      <c r="E205" s="59">
        <f t="shared" si="25"/>
        <v>0</v>
      </c>
      <c r="F205" s="59">
        <v>0</v>
      </c>
      <c r="G205" s="59">
        <f t="shared" si="24"/>
        <v>0</v>
      </c>
    </row>
    <row r="206" spans="1:10" ht="15.75" customHeight="1" x14ac:dyDescent="0.25">
      <c r="A206" s="58" t="s">
        <v>769</v>
      </c>
      <c r="B206" s="1">
        <v>0</v>
      </c>
      <c r="C206" s="59" t="s">
        <v>14</v>
      </c>
      <c r="D206" s="58">
        <v>95.51</v>
      </c>
      <c r="E206" s="59">
        <f t="shared" si="25"/>
        <v>0</v>
      </c>
      <c r="F206" s="59">
        <v>0</v>
      </c>
      <c r="G206" s="59">
        <f t="shared" si="24"/>
        <v>0</v>
      </c>
    </row>
    <row r="207" spans="1:10" ht="15.75" customHeight="1" x14ac:dyDescent="0.25">
      <c r="A207" s="58" t="s">
        <v>770</v>
      </c>
      <c r="B207" s="1">
        <v>0</v>
      </c>
      <c r="C207" s="59" t="s">
        <v>14</v>
      </c>
      <c r="D207" s="58">
        <v>109</v>
      </c>
      <c r="E207" s="59">
        <f t="shared" si="25"/>
        <v>0</v>
      </c>
      <c r="F207" s="59">
        <v>0</v>
      </c>
      <c r="G207" s="59">
        <f t="shared" si="24"/>
        <v>0</v>
      </c>
    </row>
    <row r="208" spans="1:10" ht="15.75" customHeight="1" x14ac:dyDescent="0.25">
      <c r="A208" s="58" t="s">
        <v>771</v>
      </c>
      <c r="B208" s="1">
        <v>1</v>
      </c>
      <c r="C208" s="59" t="s">
        <v>14</v>
      </c>
      <c r="D208" s="58">
        <v>160.27000000000001</v>
      </c>
      <c r="E208" s="59">
        <f>B208*D208</f>
        <v>160.27000000000001</v>
      </c>
      <c r="F208" s="59">
        <v>0</v>
      </c>
      <c r="G208" s="59">
        <f t="shared" si="24"/>
        <v>160.27000000000001</v>
      </c>
    </row>
    <row r="209" spans="1:7" ht="15.75" customHeight="1" x14ac:dyDescent="0.25">
      <c r="A209" s="58" t="s">
        <v>772</v>
      </c>
      <c r="B209" s="1">
        <v>0</v>
      </c>
      <c r="C209" s="59" t="s">
        <v>14</v>
      </c>
      <c r="D209" s="58">
        <v>152.33000000000001</v>
      </c>
      <c r="E209" s="59">
        <f t="shared" si="25"/>
        <v>0</v>
      </c>
      <c r="F209" s="59">
        <v>0</v>
      </c>
      <c r="G209" s="59">
        <f t="shared" si="24"/>
        <v>0</v>
      </c>
    </row>
    <row r="210" spans="1:7" ht="15.75" customHeight="1" x14ac:dyDescent="0.25">
      <c r="A210" s="58" t="s">
        <v>773</v>
      </c>
      <c r="B210" s="1">
        <v>0</v>
      </c>
      <c r="C210" s="59" t="s">
        <v>14</v>
      </c>
      <c r="D210" s="58">
        <v>557</v>
      </c>
      <c r="E210" s="59">
        <f t="shared" si="25"/>
        <v>0</v>
      </c>
      <c r="F210" s="3">
        <v>0</v>
      </c>
      <c r="G210" s="59">
        <f t="shared" si="24"/>
        <v>0</v>
      </c>
    </row>
    <row r="211" spans="1:7" ht="15.75" customHeight="1" x14ac:dyDescent="0.25">
      <c r="A211" s="68" t="s">
        <v>774</v>
      </c>
      <c r="B211" s="1">
        <v>0</v>
      </c>
      <c r="C211" s="59" t="s">
        <v>14</v>
      </c>
      <c r="D211" s="68">
        <v>442.44</v>
      </c>
      <c r="E211" s="59">
        <f t="shared" si="25"/>
        <v>0</v>
      </c>
      <c r="F211" s="3">
        <v>0</v>
      </c>
      <c r="G211" s="59">
        <f t="shared" si="24"/>
        <v>0</v>
      </c>
    </row>
    <row r="212" spans="1:7" ht="15.75" customHeight="1" x14ac:dyDescent="0.25">
      <c r="A212" s="61"/>
      <c r="B212" s="62"/>
      <c r="C212" s="62"/>
      <c r="D212" s="62"/>
      <c r="E212" s="62"/>
      <c r="F212" s="62"/>
      <c r="G212" s="63"/>
    </row>
    <row r="213" spans="1:7" ht="15.75" customHeight="1" x14ac:dyDescent="0.25">
      <c r="A213" s="72" t="s">
        <v>775</v>
      </c>
      <c r="B213" s="62"/>
      <c r="C213" s="62"/>
      <c r="D213" s="63"/>
      <c r="E213" s="54">
        <f>SUM(E3:E211)</f>
        <v>38905.454999999987</v>
      </c>
      <c r="F213" s="54">
        <f>SUM(F3:F210)</f>
        <v>0</v>
      </c>
      <c r="G213" s="54"/>
    </row>
    <row r="214" spans="1:7" ht="15.75" customHeight="1" x14ac:dyDescent="0.25">
      <c r="A214" s="61"/>
      <c r="B214" s="62"/>
      <c r="C214" s="62"/>
      <c r="D214" s="62"/>
      <c r="E214" s="62"/>
      <c r="F214" s="62"/>
      <c r="G214" s="63"/>
    </row>
  </sheetData>
  <mergeCells count="17">
    <mergeCell ref="L5:N5"/>
    <mergeCell ref="L6:N6"/>
    <mergeCell ref="A212:G212"/>
    <mergeCell ref="A213:D213"/>
    <mergeCell ref="A214:G214"/>
    <mergeCell ref="L7:N7"/>
    <mergeCell ref="L8:N8"/>
    <mergeCell ref="L9:N9"/>
    <mergeCell ref="L10:N10"/>
    <mergeCell ref="L11:N11"/>
    <mergeCell ref="L12:N12"/>
    <mergeCell ref="L13:N13"/>
    <mergeCell ref="A1:G1"/>
    <mergeCell ref="L1:R1"/>
    <mergeCell ref="L2:N2"/>
    <mergeCell ref="L3:N3"/>
    <mergeCell ref="L4:N4"/>
  </mergeCells>
  <pageMargins left="0.511811024" right="0.511811024" top="0.78740157499999996" bottom="0.78740157499999996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"/>
  <sheetViews>
    <sheetView topLeftCell="A39" workbookViewId="0">
      <selection activeCell="A73" sqref="A73:G73"/>
    </sheetView>
  </sheetViews>
  <sheetFormatPr defaultColWidth="14.42578125" defaultRowHeight="15.75" customHeight="1" x14ac:dyDescent="0.25"/>
  <cols>
    <col min="1" max="1" width="42.7109375" style="53" customWidth="1"/>
    <col min="2" max="2" width="13" style="53" customWidth="1"/>
    <col min="3" max="3" width="8.7109375" style="53" customWidth="1"/>
    <col min="4" max="4" width="11.42578125" style="53" customWidth="1"/>
    <col min="5" max="5" width="12" style="53" customWidth="1"/>
    <col min="6" max="6" width="8.7109375" style="53" customWidth="1"/>
    <col min="7" max="7" width="16.7109375" style="53" customWidth="1"/>
    <col min="8" max="16384" width="14.42578125" style="53"/>
  </cols>
  <sheetData>
    <row r="1" spans="1:8" ht="15.75" customHeight="1" x14ac:dyDescent="0.25">
      <c r="A1" s="57" t="s">
        <v>776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</row>
    <row r="2" spans="1:8" ht="15.75" customHeight="1" x14ac:dyDescent="0.25">
      <c r="A2" s="3" t="s">
        <v>777</v>
      </c>
      <c r="B2" s="1">
        <v>0</v>
      </c>
      <c r="C2" s="3" t="s">
        <v>14</v>
      </c>
      <c r="D2" s="58">
        <v>3</v>
      </c>
      <c r="E2" s="3">
        <f t="shared" ref="E2:E70" si="0">B2*D2</f>
        <v>0</v>
      </c>
      <c r="F2" s="3">
        <v>0</v>
      </c>
      <c r="G2" s="59">
        <f>D2*F2</f>
        <v>0</v>
      </c>
    </row>
    <row r="3" spans="1:8" ht="15.75" customHeight="1" x14ac:dyDescent="0.25">
      <c r="A3" s="3" t="s">
        <v>778</v>
      </c>
      <c r="B3" s="1">
        <v>0</v>
      </c>
      <c r="C3" s="3" t="s">
        <v>14</v>
      </c>
      <c r="D3" s="58">
        <v>3</v>
      </c>
      <c r="E3" s="3">
        <f t="shared" si="0"/>
        <v>0</v>
      </c>
      <c r="F3" s="3">
        <v>0</v>
      </c>
      <c r="G3" s="59">
        <f t="shared" ref="G3:G62" si="1">D3*F3</f>
        <v>0</v>
      </c>
      <c r="H3" s="60"/>
    </row>
    <row r="4" spans="1:8" ht="15.75" customHeight="1" x14ac:dyDescent="0.25">
      <c r="A4" s="3" t="s">
        <v>779</v>
      </c>
      <c r="B4" s="1">
        <v>235</v>
      </c>
      <c r="C4" s="3" t="s">
        <v>14</v>
      </c>
      <c r="D4" s="58">
        <v>1.19</v>
      </c>
      <c r="E4" s="3">
        <f t="shared" si="0"/>
        <v>279.64999999999998</v>
      </c>
      <c r="F4" s="3">
        <v>0</v>
      </c>
      <c r="G4" s="59">
        <f t="shared" si="1"/>
        <v>0</v>
      </c>
      <c r="H4" s="60"/>
    </row>
    <row r="5" spans="1:8" ht="15.75" customHeight="1" x14ac:dyDescent="0.25">
      <c r="A5" s="3" t="s">
        <v>780</v>
      </c>
      <c r="B5" s="1">
        <v>132</v>
      </c>
      <c r="C5" s="3" t="s">
        <v>14</v>
      </c>
      <c r="D5" s="58">
        <v>1.19</v>
      </c>
      <c r="E5" s="3">
        <f t="shared" si="0"/>
        <v>157.07999999999998</v>
      </c>
      <c r="F5" s="3">
        <v>0</v>
      </c>
      <c r="G5" s="59">
        <f t="shared" si="1"/>
        <v>0</v>
      </c>
      <c r="H5" s="60"/>
    </row>
    <row r="6" spans="1:8" ht="15.75" customHeight="1" x14ac:dyDescent="0.25">
      <c r="A6" s="3" t="s">
        <v>781</v>
      </c>
      <c r="B6" s="1">
        <v>6</v>
      </c>
      <c r="C6" s="3" t="s">
        <v>14</v>
      </c>
      <c r="D6" s="58">
        <v>2.08</v>
      </c>
      <c r="E6" s="3">
        <f t="shared" si="0"/>
        <v>12.48</v>
      </c>
      <c r="F6" s="3">
        <v>0</v>
      </c>
      <c r="G6" s="59">
        <f t="shared" si="1"/>
        <v>0</v>
      </c>
      <c r="H6" s="60"/>
    </row>
    <row r="7" spans="1:8" ht="15.75" customHeight="1" x14ac:dyDescent="0.25">
      <c r="A7" s="3" t="s">
        <v>782</v>
      </c>
      <c r="B7" s="1">
        <v>0</v>
      </c>
      <c r="C7" s="3" t="s">
        <v>14</v>
      </c>
      <c r="D7" s="58">
        <v>7.68</v>
      </c>
      <c r="E7" s="3">
        <f t="shared" si="0"/>
        <v>0</v>
      </c>
      <c r="F7" s="3">
        <v>0</v>
      </c>
      <c r="G7" s="59">
        <f t="shared" si="1"/>
        <v>0</v>
      </c>
      <c r="H7" s="60"/>
    </row>
    <row r="8" spans="1:8" ht="15.75" customHeight="1" x14ac:dyDescent="0.25">
      <c r="A8" s="3" t="s">
        <v>900</v>
      </c>
      <c r="B8" s="1">
        <v>0</v>
      </c>
      <c r="C8" s="3" t="s">
        <v>14</v>
      </c>
      <c r="D8" s="58">
        <v>9.83</v>
      </c>
      <c r="E8" s="3">
        <f t="shared" ref="E8:E9" si="2">B8*D8</f>
        <v>0</v>
      </c>
      <c r="F8" s="3">
        <v>0</v>
      </c>
      <c r="G8" s="59">
        <f t="shared" ref="G8:G9" si="3">D8*F8</f>
        <v>0</v>
      </c>
      <c r="H8" s="60"/>
    </row>
    <row r="9" spans="1:8" ht="15.75" customHeight="1" x14ac:dyDescent="0.25">
      <c r="A9" s="3" t="s">
        <v>901</v>
      </c>
      <c r="B9" s="1">
        <v>0</v>
      </c>
      <c r="C9" s="3" t="s">
        <v>14</v>
      </c>
      <c r="D9" s="58">
        <v>9.83</v>
      </c>
      <c r="E9" s="3">
        <f t="shared" si="2"/>
        <v>0</v>
      </c>
      <c r="F9" s="3">
        <v>0</v>
      </c>
      <c r="G9" s="59">
        <f t="shared" si="3"/>
        <v>0</v>
      </c>
      <c r="H9" s="60"/>
    </row>
    <row r="10" spans="1:8" ht="15.75" customHeight="1" x14ac:dyDescent="0.25">
      <c r="A10" s="3" t="s">
        <v>783</v>
      </c>
      <c r="B10" s="1">
        <v>227</v>
      </c>
      <c r="C10" s="3" t="s">
        <v>14</v>
      </c>
      <c r="D10" s="58">
        <v>2.25</v>
      </c>
      <c r="E10" s="3">
        <f t="shared" si="0"/>
        <v>510.75</v>
      </c>
      <c r="F10" s="3">
        <v>0</v>
      </c>
      <c r="G10" s="59">
        <f t="shared" si="1"/>
        <v>0</v>
      </c>
      <c r="H10" s="60"/>
    </row>
    <row r="11" spans="1:8" ht="15.75" customHeight="1" x14ac:dyDescent="0.25">
      <c r="A11" s="3" t="s">
        <v>784</v>
      </c>
      <c r="B11" s="1">
        <v>212</v>
      </c>
      <c r="C11" s="3" t="s">
        <v>14</v>
      </c>
      <c r="D11" s="58">
        <v>2.25</v>
      </c>
      <c r="E11" s="3">
        <f t="shared" si="0"/>
        <v>477</v>
      </c>
      <c r="F11" s="3">
        <v>0</v>
      </c>
      <c r="G11" s="59">
        <f t="shared" si="1"/>
        <v>0</v>
      </c>
      <c r="H11" s="60"/>
    </row>
    <row r="12" spans="1:8" ht="15.75" customHeight="1" x14ac:dyDescent="0.25">
      <c r="A12" s="3" t="s">
        <v>785</v>
      </c>
      <c r="B12" s="1">
        <v>0</v>
      </c>
      <c r="C12" s="3" t="s">
        <v>14</v>
      </c>
      <c r="D12" s="58">
        <v>3.26</v>
      </c>
      <c r="E12" s="3">
        <f t="shared" si="0"/>
        <v>0</v>
      </c>
      <c r="F12" s="3">
        <v>0</v>
      </c>
      <c r="G12" s="59">
        <f t="shared" si="1"/>
        <v>0</v>
      </c>
      <c r="H12" s="60"/>
    </row>
    <row r="13" spans="1:8" ht="15.75" customHeight="1" x14ac:dyDescent="0.25">
      <c r="A13" s="3" t="s">
        <v>786</v>
      </c>
      <c r="B13" s="1">
        <v>0</v>
      </c>
      <c r="C13" s="3" t="s">
        <v>14</v>
      </c>
      <c r="D13" s="58">
        <v>3.26</v>
      </c>
      <c r="E13" s="3">
        <f t="shared" si="0"/>
        <v>0</v>
      </c>
      <c r="F13" s="3">
        <v>0</v>
      </c>
      <c r="G13" s="59">
        <f t="shared" si="1"/>
        <v>0</v>
      </c>
      <c r="H13" s="60"/>
    </row>
    <row r="14" spans="1:8" ht="15.75" customHeight="1" x14ac:dyDescent="0.25">
      <c r="A14" s="3" t="s">
        <v>787</v>
      </c>
      <c r="B14" s="1">
        <v>103</v>
      </c>
      <c r="C14" s="3" t="s">
        <v>14</v>
      </c>
      <c r="D14" s="58">
        <v>2.83</v>
      </c>
      <c r="E14" s="3">
        <f t="shared" si="0"/>
        <v>291.49</v>
      </c>
      <c r="F14" s="3">
        <v>0</v>
      </c>
      <c r="G14" s="59">
        <f t="shared" si="1"/>
        <v>0</v>
      </c>
    </row>
    <row r="15" spans="1:8" ht="15.75" customHeight="1" x14ac:dyDescent="0.25">
      <c r="A15" s="3" t="s">
        <v>788</v>
      </c>
      <c r="B15" s="1">
        <v>38</v>
      </c>
      <c r="C15" s="3" t="s">
        <v>14</v>
      </c>
      <c r="D15" s="58">
        <v>2.83</v>
      </c>
      <c r="E15" s="3">
        <f t="shared" si="0"/>
        <v>107.54</v>
      </c>
      <c r="F15" s="3">
        <v>0</v>
      </c>
      <c r="G15" s="59">
        <f t="shared" si="1"/>
        <v>0</v>
      </c>
    </row>
    <row r="16" spans="1:8" ht="15.75" customHeight="1" x14ac:dyDescent="0.25">
      <c r="A16" s="3" t="s">
        <v>789</v>
      </c>
      <c r="B16" s="1">
        <v>0</v>
      </c>
      <c r="C16" s="3" t="s">
        <v>14</v>
      </c>
      <c r="D16" s="58">
        <v>5.58</v>
      </c>
      <c r="E16" s="3">
        <f t="shared" si="0"/>
        <v>0</v>
      </c>
      <c r="F16" s="3">
        <v>0</v>
      </c>
      <c r="G16" s="59">
        <f t="shared" si="1"/>
        <v>0</v>
      </c>
    </row>
    <row r="17" spans="1:7" ht="15.75" customHeight="1" x14ac:dyDescent="0.25">
      <c r="A17" s="3" t="s">
        <v>790</v>
      </c>
      <c r="B17" s="1">
        <v>0</v>
      </c>
      <c r="C17" s="3" t="s">
        <v>14</v>
      </c>
      <c r="D17" s="58">
        <v>0</v>
      </c>
      <c r="E17" s="3">
        <f t="shared" si="0"/>
        <v>0</v>
      </c>
      <c r="F17" s="3">
        <v>0</v>
      </c>
      <c r="G17" s="59">
        <f t="shared" si="1"/>
        <v>0</v>
      </c>
    </row>
    <row r="18" spans="1:7" ht="15.75" customHeight="1" x14ac:dyDescent="0.25">
      <c r="A18" s="3" t="s">
        <v>791</v>
      </c>
      <c r="B18" s="1">
        <v>25</v>
      </c>
      <c r="C18" s="3" t="s">
        <v>14</v>
      </c>
      <c r="D18" s="58">
        <v>9.99</v>
      </c>
      <c r="E18" s="3">
        <f t="shared" si="0"/>
        <v>249.75</v>
      </c>
      <c r="F18" s="3">
        <v>0</v>
      </c>
      <c r="G18" s="59">
        <f t="shared" si="1"/>
        <v>0</v>
      </c>
    </row>
    <row r="19" spans="1:7" ht="15.75" customHeight="1" x14ac:dyDescent="0.25">
      <c r="A19" s="3" t="s">
        <v>916</v>
      </c>
      <c r="B19" s="1">
        <v>89</v>
      </c>
      <c r="C19" s="3" t="s">
        <v>14</v>
      </c>
      <c r="D19" s="58">
        <v>7.66</v>
      </c>
      <c r="E19" s="3">
        <f t="shared" si="0"/>
        <v>681.74</v>
      </c>
      <c r="F19" s="3">
        <v>0</v>
      </c>
      <c r="G19" s="59">
        <f t="shared" si="1"/>
        <v>0</v>
      </c>
    </row>
    <row r="20" spans="1:7" ht="15.75" customHeight="1" x14ac:dyDescent="0.25">
      <c r="A20" s="3" t="s">
        <v>792</v>
      </c>
      <c r="B20" s="1">
        <v>0</v>
      </c>
      <c r="C20" s="3" t="s">
        <v>14</v>
      </c>
      <c r="D20" s="58">
        <v>0</v>
      </c>
      <c r="E20" s="3">
        <f t="shared" si="0"/>
        <v>0</v>
      </c>
      <c r="F20" s="3">
        <v>0</v>
      </c>
      <c r="G20" s="59">
        <f t="shared" si="1"/>
        <v>0</v>
      </c>
    </row>
    <row r="21" spans="1:7" ht="15.75" customHeight="1" x14ac:dyDescent="0.25">
      <c r="A21" s="3" t="s">
        <v>793</v>
      </c>
      <c r="B21" s="1">
        <v>0</v>
      </c>
      <c r="C21" s="3" t="s">
        <v>14</v>
      </c>
      <c r="D21" s="58">
        <v>0</v>
      </c>
      <c r="E21" s="3">
        <f t="shared" si="0"/>
        <v>0</v>
      </c>
      <c r="F21" s="3">
        <v>0</v>
      </c>
      <c r="G21" s="59">
        <f t="shared" si="1"/>
        <v>0</v>
      </c>
    </row>
    <row r="22" spans="1:7" ht="15.75" customHeight="1" x14ac:dyDescent="0.25">
      <c r="A22" s="3" t="s">
        <v>794</v>
      </c>
      <c r="B22" s="1">
        <v>10</v>
      </c>
      <c r="C22" s="3" t="s">
        <v>14</v>
      </c>
      <c r="D22" s="58">
        <v>4.66</v>
      </c>
      <c r="E22" s="3">
        <f t="shared" si="0"/>
        <v>46.6</v>
      </c>
      <c r="F22" s="3">
        <v>0</v>
      </c>
      <c r="G22" s="59">
        <f t="shared" si="1"/>
        <v>0</v>
      </c>
    </row>
    <row r="23" spans="1:7" ht="15.75" customHeight="1" x14ac:dyDescent="0.25">
      <c r="A23" s="3" t="s">
        <v>795</v>
      </c>
      <c r="B23" s="1">
        <v>30</v>
      </c>
      <c r="C23" s="3" t="s">
        <v>14</v>
      </c>
      <c r="D23" s="58">
        <v>3.58</v>
      </c>
      <c r="E23" s="3">
        <f>B23*D23</f>
        <v>107.4</v>
      </c>
      <c r="F23" s="3">
        <v>0</v>
      </c>
      <c r="G23" s="59">
        <f t="shared" si="1"/>
        <v>0</v>
      </c>
    </row>
    <row r="24" spans="1:7" ht="15.75" customHeight="1" x14ac:dyDescent="0.25">
      <c r="A24" s="3" t="s">
        <v>796</v>
      </c>
      <c r="B24" s="1">
        <v>26</v>
      </c>
      <c r="C24" s="3" t="s">
        <v>14</v>
      </c>
      <c r="D24" s="58">
        <v>3.58</v>
      </c>
      <c r="E24" s="3">
        <f t="shared" si="0"/>
        <v>93.08</v>
      </c>
      <c r="F24" s="3">
        <v>0</v>
      </c>
      <c r="G24" s="59">
        <f t="shared" si="1"/>
        <v>0</v>
      </c>
    </row>
    <row r="25" spans="1:7" ht="15.75" customHeight="1" x14ac:dyDescent="0.25">
      <c r="A25" s="3" t="s">
        <v>797</v>
      </c>
      <c r="B25" s="1">
        <v>96</v>
      </c>
      <c r="C25" s="3" t="s">
        <v>14</v>
      </c>
      <c r="D25" s="58">
        <v>4</v>
      </c>
      <c r="E25" s="3">
        <f>B25*D25</f>
        <v>384</v>
      </c>
      <c r="F25" s="3">
        <v>0</v>
      </c>
      <c r="G25" s="59">
        <f t="shared" si="1"/>
        <v>0</v>
      </c>
    </row>
    <row r="26" spans="1:7" ht="15.75" customHeight="1" x14ac:dyDescent="0.25">
      <c r="A26" s="3" t="s">
        <v>838</v>
      </c>
      <c r="B26" s="1">
        <v>66</v>
      </c>
      <c r="C26" s="3" t="s">
        <v>14</v>
      </c>
      <c r="D26" s="58">
        <v>4</v>
      </c>
      <c r="E26" s="3">
        <f t="shared" si="0"/>
        <v>264</v>
      </c>
      <c r="F26" s="3">
        <v>0</v>
      </c>
      <c r="G26" s="59">
        <f t="shared" si="1"/>
        <v>0</v>
      </c>
    </row>
    <row r="27" spans="1:7" ht="15.75" customHeight="1" x14ac:dyDescent="0.25">
      <c r="A27" s="3" t="s">
        <v>798</v>
      </c>
      <c r="B27" s="1">
        <v>0</v>
      </c>
      <c r="C27" s="3" t="s">
        <v>799</v>
      </c>
      <c r="D27" s="58">
        <v>3.58</v>
      </c>
      <c r="E27" s="3">
        <f t="shared" si="0"/>
        <v>0</v>
      </c>
      <c r="F27" s="3">
        <v>0</v>
      </c>
      <c r="G27" s="59">
        <f t="shared" si="1"/>
        <v>0</v>
      </c>
    </row>
    <row r="28" spans="1:7" ht="15.75" customHeight="1" x14ac:dyDescent="0.25">
      <c r="A28" s="3" t="s">
        <v>839</v>
      </c>
      <c r="B28" s="1">
        <v>67</v>
      </c>
      <c r="C28" s="3" t="s">
        <v>14</v>
      </c>
      <c r="D28" s="58">
        <v>7.49</v>
      </c>
      <c r="E28" s="3">
        <f t="shared" si="0"/>
        <v>501.83000000000004</v>
      </c>
      <c r="F28" s="3">
        <v>0</v>
      </c>
      <c r="G28" s="59">
        <f t="shared" si="1"/>
        <v>0</v>
      </c>
    </row>
    <row r="29" spans="1:7" ht="15.75" customHeight="1" x14ac:dyDescent="0.25">
      <c r="A29" s="3" t="s">
        <v>800</v>
      </c>
      <c r="B29" s="1">
        <v>5</v>
      </c>
      <c r="C29" s="3" t="s">
        <v>14</v>
      </c>
      <c r="D29" s="58">
        <v>7.49</v>
      </c>
      <c r="E29" s="3">
        <f t="shared" si="0"/>
        <v>37.450000000000003</v>
      </c>
      <c r="F29" s="3">
        <v>0</v>
      </c>
      <c r="G29" s="59">
        <f t="shared" si="1"/>
        <v>0</v>
      </c>
    </row>
    <row r="30" spans="1:7" ht="15.75" customHeight="1" x14ac:dyDescent="0.25">
      <c r="A30" s="3" t="s">
        <v>801</v>
      </c>
      <c r="B30" s="1">
        <v>0</v>
      </c>
      <c r="C30" s="3" t="s">
        <v>14</v>
      </c>
      <c r="D30" s="58">
        <v>5.94</v>
      </c>
      <c r="E30" s="3">
        <f t="shared" si="0"/>
        <v>0</v>
      </c>
      <c r="F30" s="3">
        <v>0</v>
      </c>
      <c r="G30" s="59">
        <f t="shared" si="1"/>
        <v>0</v>
      </c>
    </row>
    <row r="31" spans="1:7" ht="15.75" customHeight="1" x14ac:dyDescent="0.25">
      <c r="A31" s="3" t="s">
        <v>802</v>
      </c>
      <c r="B31" s="1">
        <v>0</v>
      </c>
      <c r="C31" s="3" t="s">
        <v>14</v>
      </c>
      <c r="D31" s="58">
        <v>5.83</v>
      </c>
      <c r="E31" s="3">
        <f t="shared" si="0"/>
        <v>0</v>
      </c>
      <c r="F31" s="3">
        <v>0</v>
      </c>
      <c r="G31" s="59">
        <f t="shared" si="1"/>
        <v>0</v>
      </c>
    </row>
    <row r="32" spans="1:7" ht="15.75" customHeight="1" x14ac:dyDescent="0.25">
      <c r="A32" s="3" t="s">
        <v>803</v>
      </c>
      <c r="B32" s="1">
        <v>0</v>
      </c>
      <c r="C32" s="3" t="s">
        <v>14</v>
      </c>
      <c r="D32" s="58">
        <v>6.73</v>
      </c>
      <c r="E32" s="3">
        <f t="shared" si="0"/>
        <v>0</v>
      </c>
      <c r="F32" s="3">
        <v>0</v>
      </c>
      <c r="G32" s="59">
        <f t="shared" si="1"/>
        <v>0</v>
      </c>
    </row>
    <row r="33" spans="1:7" ht="15.75" customHeight="1" x14ac:dyDescent="0.25">
      <c r="A33" s="3" t="s">
        <v>804</v>
      </c>
      <c r="B33" s="1">
        <v>0</v>
      </c>
      <c r="C33" s="3" t="s">
        <v>14</v>
      </c>
      <c r="D33" s="58">
        <v>7.49</v>
      </c>
      <c r="E33" s="3">
        <f t="shared" si="0"/>
        <v>0</v>
      </c>
      <c r="F33" s="3">
        <v>0</v>
      </c>
      <c r="G33" s="59">
        <f t="shared" si="1"/>
        <v>0</v>
      </c>
    </row>
    <row r="34" spans="1:7" ht="15.75" customHeight="1" x14ac:dyDescent="0.25">
      <c r="A34" s="3" t="s">
        <v>805</v>
      </c>
      <c r="B34" s="1">
        <v>20</v>
      </c>
      <c r="C34" s="3" t="s">
        <v>14</v>
      </c>
      <c r="D34" s="58">
        <v>7.49</v>
      </c>
      <c r="E34" s="3">
        <f t="shared" si="0"/>
        <v>149.80000000000001</v>
      </c>
      <c r="F34" s="3">
        <v>0</v>
      </c>
      <c r="G34" s="59">
        <f t="shared" si="1"/>
        <v>0</v>
      </c>
    </row>
    <row r="35" spans="1:7" ht="15.75" customHeight="1" x14ac:dyDescent="0.25">
      <c r="A35" s="3" t="s">
        <v>806</v>
      </c>
      <c r="B35" s="1">
        <v>46</v>
      </c>
      <c r="C35" s="3" t="s">
        <v>14</v>
      </c>
      <c r="D35" s="58">
        <v>7.49</v>
      </c>
      <c r="E35" s="3">
        <f>B35*D35</f>
        <v>344.54</v>
      </c>
      <c r="F35" s="59">
        <v>0</v>
      </c>
      <c r="G35" s="59">
        <f t="shared" si="1"/>
        <v>0</v>
      </c>
    </row>
    <row r="36" spans="1:7" ht="15.75" customHeight="1" x14ac:dyDescent="0.25">
      <c r="A36" s="3" t="s">
        <v>807</v>
      </c>
      <c r="B36" s="1">
        <v>29</v>
      </c>
      <c r="C36" s="3" t="s">
        <v>14</v>
      </c>
      <c r="D36" s="58">
        <v>3.17</v>
      </c>
      <c r="E36" s="3">
        <f t="shared" si="0"/>
        <v>91.929999999999993</v>
      </c>
      <c r="F36" s="59">
        <v>0</v>
      </c>
      <c r="G36" s="59">
        <f t="shared" si="1"/>
        <v>0</v>
      </c>
    </row>
    <row r="37" spans="1:7" ht="15.75" customHeight="1" x14ac:dyDescent="0.25">
      <c r="A37" s="3" t="s">
        <v>808</v>
      </c>
      <c r="B37" s="1">
        <v>39</v>
      </c>
      <c r="C37" s="3" t="s">
        <v>14</v>
      </c>
      <c r="D37" s="58">
        <v>3.17</v>
      </c>
      <c r="E37" s="3">
        <f t="shared" si="0"/>
        <v>123.63</v>
      </c>
      <c r="F37" s="59">
        <v>0</v>
      </c>
      <c r="G37" s="59">
        <f t="shared" si="1"/>
        <v>0</v>
      </c>
    </row>
    <row r="38" spans="1:7" ht="15.75" customHeight="1" x14ac:dyDescent="0.25">
      <c r="A38" s="3" t="s">
        <v>892</v>
      </c>
      <c r="B38" s="1">
        <v>0</v>
      </c>
      <c r="C38" s="3" t="s">
        <v>14</v>
      </c>
      <c r="D38" s="58">
        <v>95</v>
      </c>
      <c r="E38" s="3">
        <f t="shared" si="0"/>
        <v>0</v>
      </c>
      <c r="F38" s="59">
        <v>0</v>
      </c>
      <c r="G38" s="59">
        <f t="shared" si="1"/>
        <v>0</v>
      </c>
    </row>
    <row r="39" spans="1:7" ht="15.75" customHeight="1" x14ac:dyDescent="0.25">
      <c r="A39" s="3" t="s">
        <v>809</v>
      </c>
      <c r="B39" s="1">
        <v>0</v>
      </c>
      <c r="C39" s="3" t="s">
        <v>14</v>
      </c>
      <c r="D39" s="58">
        <v>43.9</v>
      </c>
      <c r="E39" s="3">
        <f t="shared" si="0"/>
        <v>0</v>
      </c>
      <c r="F39" s="59">
        <v>0</v>
      </c>
      <c r="G39" s="59">
        <f t="shared" si="1"/>
        <v>0</v>
      </c>
    </row>
    <row r="40" spans="1:7" ht="15.75" customHeight="1" x14ac:dyDescent="0.25">
      <c r="A40" s="3" t="s">
        <v>810</v>
      </c>
      <c r="B40" s="1">
        <v>0</v>
      </c>
      <c r="C40" s="3" t="s">
        <v>14</v>
      </c>
      <c r="D40" s="58">
        <v>0</v>
      </c>
      <c r="E40" s="3">
        <f t="shared" si="0"/>
        <v>0</v>
      </c>
      <c r="F40" s="3">
        <v>0</v>
      </c>
      <c r="G40" s="59">
        <f t="shared" si="1"/>
        <v>0</v>
      </c>
    </row>
    <row r="41" spans="1:7" ht="15.75" customHeight="1" x14ac:dyDescent="0.25">
      <c r="A41" s="3" t="s">
        <v>811</v>
      </c>
      <c r="B41" s="1">
        <v>0</v>
      </c>
      <c r="C41" s="3" t="s">
        <v>14</v>
      </c>
      <c r="D41" s="58">
        <v>0</v>
      </c>
      <c r="E41" s="3">
        <f t="shared" si="0"/>
        <v>0</v>
      </c>
      <c r="F41" s="3">
        <v>0</v>
      </c>
      <c r="G41" s="59">
        <f t="shared" si="1"/>
        <v>0</v>
      </c>
    </row>
    <row r="42" spans="1:7" ht="15.75" customHeight="1" x14ac:dyDescent="0.25">
      <c r="A42" s="3" t="s">
        <v>812</v>
      </c>
      <c r="B42" s="1">
        <v>1</v>
      </c>
      <c r="C42" s="3" t="s">
        <v>14</v>
      </c>
      <c r="D42" s="58">
        <v>42.71</v>
      </c>
      <c r="E42" s="3">
        <f t="shared" si="0"/>
        <v>42.71</v>
      </c>
      <c r="F42" s="59">
        <v>0</v>
      </c>
      <c r="G42" s="59">
        <f t="shared" si="1"/>
        <v>0</v>
      </c>
    </row>
    <row r="43" spans="1:7" ht="15.75" customHeight="1" x14ac:dyDescent="0.25">
      <c r="A43" s="3" t="s">
        <v>813</v>
      </c>
      <c r="B43" s="1">
        <v>1</v>
      </c>
      <c r="C43" s="3" t="s">
        <v>14</v>
      </c>
      <c r="D43" s="58">
        <v>67.86</v>
      </c>
      <c r="E43" s="3">
        <f t="shared" si="0"/>
        <v>67.86</v>
      </c>
      <c r="F43" s="59">
        <v>0</v>
      </c>
      <c r="G43" s="59">
        <f t="shared" si="1"/>
        <v>0</v>
      </c>
    </row>
    <row r="44" spans="1:7" ht="15.75" customHeight="1" x14ac:dyDescent="0.25">
      <c r="A44" s="3" t="s">
        <v>840</v>
      </c>
      <c r="B44" s="1">
        <v>1</v>
      </c>
      <c r="C44" s="3" t="s">
        <v>14</v>
      </c>
      <c r="D44" s="58">
        <v>67.86</v>
      </c>
      <c r="E44" s="3">
        <f t="shared" si="0"/>
        <v>67.86</v>
      </c>
      <c r="F44" s="59">
        <v>0</v>
      </c>
      <c r="G44" s="59">
        <f t="shared" si="1"/>
        <v>0</v>
      </c>
    </row>
    <row r="45" spans="1:7" ht="15.75" customHeight="1" x14ac:dyDescent="0.25">
      <c r="A45" s="3" t="s">
        <v>931</v>
      </c>
      <c r="B45" s="1">
        <v>2</v>
      </c>
      <c r="C45" s="3" t="s">
        <v>14</v>
      </c>
      <c r="D45" s="58">
        <v>67.86</v>
      </c>
      <c r="E45" s="3">
        <f>B45*D45</f>
        <v>135.72</v>
      </c>
      <c r="F45" s="59">
        <v>0</v>
      </c>
      <c r="G45" s="59">
        <f t="shared" si="1"/>
        <v>0</v>
      </c>
    </row>
    <row r="46" spans="1:7" ht="15.75" customHeight="1" x14ac:dyDescent="0.25">
      <c r="A46" s="3" t="s">
        <v>844</v>
      </c>
      <c r="B46" s="1">
        <v>1.5</v>
      </c>
      <c r="C46" s="3" t="s">
        <v>14</v>
      </c>
      <c r="D46" s="58">
        <v>67.86</v>
      </c>
      <c r="E46" s="3">
        <f t="shared" si="0"/>
        <v>101.78999999999999</v>
      </c>
      <c r="F46" s="59">
        <v>0</v>
      </c>
      <c r="G46" s="59">
        <f t="shared" si="1"/>
        <v>0</v>
      </c>
    </row>
    <row r="47" spans="1:7" ht="15.75" customHeight="1" x14ac:dyDescent="0.25">
      <c r="A47" s="3" t="s">
        <v>857</v>
      </c>
      <c r="B47" s="1">
        <v>0</v>
      </c>
      <c r="C47" s="3" t="s">
        <v>14</v>
      </c>
      <c r="D47" s="58">
        <v>67.86</v>
      </c>
      <c r="E47" s="3">
        <f t="shared" si="0"/>
        <v>0</v>
      </c>
      <c r="F47" s="3">
        <v>0</v>
      </c>
      <c r="G47" s="59">
        <f t="shared" si="1"/>
        <v>0</v>
      </c>
    </row>
    <row r="48" spans="1:7" ht="15.75" customHeight="1" x14ac:dyDescent="0.25">
      <c r="A48" s="3" t="s">
        <v>845</v>
      </c>
      <c r="B48" s="1">
        <v>3</v>
      </c>
      <c r="C48" s="3" t="s">
        <v>14</v>
      </c>
      <c r="D48" s="58">
        <v>67.86</v>
      </c>
      <c r="E48" s="3">
        <f t="shared" si="0"/>
        <v>203.57999999999998</v>
      </c>
      <c r="F48" s="59">
        <v>0</v>
      </c>
      <c r="G48" s="59">
        <f t="shared" si="1"/>
        <v>0</v>
      </c>
    </row>
    <row r="49" spans="1:7" ht="15.75" customHeight="1" x14ac:dyDescent="0.25">
      <c r="A49" s="3" t="s">
        <v>841</v>
      </c>
      <c r="B49" s="1">
        <v>3.2</v>
      </c>
      <c r="C49" s="3" t="s">
        <v>14</v>
      </c>
      <c r="D49" s="58">
        <v>67.86</v>
      </c>
      <c r="E49" s="3">
        <f t="shared" si="0"/>
        <v>217.15200000000002</v>
      </c>
      <c r="F49" s="59">
        <v>0</v>
      </c>
      <c r="G49" s="59">
        <f t="shared" si="1"/>
        <v>0</v>
      </c>
    </row>
    <row r="50" spans="1:7" ht="15.75" customHeight="1" x14ac:dyDescent="0.25">
      <c r="A50" s="3" t="s">
        <v>846</v>
      </c>
      <c r="B50" s="1">
        <v>1.3</v>
      </c>
      <c r="C50" s="3" t="s">
        <v>14</v>
      </c>
      <c r="D50" s="58">
        <v>67.86</v>
      </c>
      <c r="E50" s="3">
        <f t="shared" si="0"/>
        <v>88.218000000000004</v>
      </c>
      <c r="F50" s="59">
        <v>0</v>
      </c>
      <c r="G50" s="59">
        <f t="shared" si="1"/>
        <v>0</v>
      </c>
    </row>
    <row r="51" spans="1:7" ht="15.75" customHeight="1" x14ac:dyDescent="0.25">
      <c r="A51" s="3" t="s">
        <v>842</v>
      </c>
      <c r="B51" s="1">
        <v>0</v>
      </c>
      <c r="C51" s="3" t="s">
        <v>14</v>
      </c>
      <c r="D51" s="58">
        <v>67.86</v>
      </c>
      <c r="E51" s="3">
        <f t="shared" si="0"/>
        <v>0</v>
      </c>
      <c r="F51" s="59">
        <v>0</v>
      </c>
      <c r="G51" s="59">
        <f t="shared" si="1"/>
        <v>0</v>
      </c>
    </row>
    <row r="52" spans="1:7" ht="15.75" customHeight="1" x14ac:dyDescent="0.25">
      <c r="A52" s="3" t="s">
        <v>814</v>
      </c>
      <c r="B52" s="1">
        <v>2</v>
      </c>
      <c r="C52" s="3" t="s">
        <v>14</v>
      </c>
      <c r="D52" s="58">
        <v>67.86</v>
      </c>
      <c r="E52" s="3">
        <f t="shared" si="0"/>
        <v>135.72</v>
      </c>
      <c r="F52" s="59">
        <v>0</v>
      </c>
      <c r="G52" s="59">
        <f t="shared" si="1"/>
        <v>0</v>
      </c>
    </row>
    <row r="53" spans="1:7" ht="15.75" customHeight="1" x14ac:dyDescent="0.25">
      <c r="A53" s="3" t="s">
        <v>858</v>
      </c>
      <c r="B53" s="1">
        <v>0</v>
      </c>
      <c r="C53" s="3" t="s">
        <v>14</v>
      </c>
      <c r="D53" s="58">
        <v>67.86</v>
      </c>
      <c r="E53" s="3">
        <f t="shared" si="0"/>
        <v>0</v>
      </c>
      <c r="F53" s="59">
        <v>0</v>
      </c>
      <c r="G53" s="59">
        <f t="shared" si="1"/>
        <v>0</v>
      </c>
    </row>
    <row r="54" spans="1:7" ht="15.75" customHeight="1" x14ac:dyDescent="0.25">
      <c r="A54" s="3" t="s">
        <v>815</v>
      </c>
      <c r="B54" s="1">
        <v>4.7</v>
      </c>
      <c r="C54" s="3" t="s">
        <v>14</v>
      </c>
      <c r="D54" s="58">
        <v>67.86</v>
      </c>
      <c r="E54" s="3">
        <f t="shared" si="0"/>
        <v>318.94200000000001</v>
      </c>
      <c r="F54" s="59">
        <v>0</v>
      </c>
      <c r="G54" s="59">
        <f t="shared" si="1"/>
        <v>0</v>
      </c>
    </row>
    <row r="55" spans="1:7" ht="15.75" customHeight="1" x14ac:dyDescent="0.25">
      <c r="A55" s="3" t="s">
        <v>816</v>
      </c>
      <c r="B55" s="1">
        <v>4.9000000000000004</v>
      </c>
      <c r="C55" s="3" t="s">
        <v>14</v>
      </c>
      <c r="D55" s="58">
        <v>67.86</v>
      </c>
      <c r="E55" s="3">
        <f t="shared" si="0"/>
        <v>332.51400000000001</v>
      </c>
      <c r="F55" s="59">
        <v>0</v>
      </c>
      <c r="G55" s="59">
        <f t="shared" si="1"/>
        <v>0</v>
      </c>
    </row>
    <row r="56" spans="1:7" ht="15.75" customHeight="1" x14ac:dyDescent="0.25">
      <c r="A56" s="3" t="s">
        <v>893</v>
      </c>
      <c r="B56" s="1">
        <v>0</v>
      </c>
      <c r="C56" s="3" t="s">
        <v>14</v>
      </c>
      <c r="D56" s="58">
        <v>67.86</v>
      </c>
      <c r="E56" s="3">
        <f t="shared" si="0"/>
        <v>0</v>
      </c>
      <c r="F56" s="59">
        <v>0</v>
      </c>
      <c r="G56" s="59">
        <f t="shared" si="1"/>
        <v>0</v>
      </c>
    </row>
    <row r="57" spans="1:7" ht="15.75" customHeight="1" x14ac:dyDescent="0.25">
      <c r="A57" s="3" t="s">
        <v>817</v>
      </c>
      <c r="B57" s="1">
        <v>1</v>
      </c>
      <c r="C57" s="3" t="s">
        <v>14</v>
      </c>
      <c r="D57" s="58">
        <v>67.86</v>
      </c>
      <c r="E57" s="3">
        <f t="shared" si="0"/>
        <v>67.86</v>
      </c>
      <c r="F57" s="3">
        <v>0</v>
      </c>
      <c r="G57" s="59">
        <f t="shared" si="1"/>
        <v>0</v>
      </c>
    </row>
    <row r="58" spans="1:7" ht="15.75" customHeight="1" x14ac:dyDescent="0.25">
      <c r="A58" s="3" t="s">
        <v>818</v>
      </c>
      <c r="B58" s="1">
        <v>2.5</v>
      </c>
      <c r="C58" s="3" t="s">
        <v>14</v>
      </c>
      <c r="D58" s="58">
        <v>67.86</v>
      </c>
      <c r="E58" s="3">
        <f t="shared" si="0"/>
        <v>169.65</v>
      </c>
      <c r="F58" s="59">
        <v>0</v>
      </c>
      <c r="G58" s="59">
        <f t="shared" si="1"/>
        <v>0</v>
      </c>
    </row>
    <row r="59" spans="1:7" ht="15.75" customHeight="1" x14ac:dyDescent="0.25">
      <c r="A59" s="3" t="s">
        <v>929</v>
      </c>
      <c r="B59" s="1">
        <v>2</v>
      </c>
      <c r="C59" s="3" t="s">
        <v>14</v>
      </c>
      <c r="D59" s="58">
        <v>67.86</v>
      </c>
      <c r="E59" s="3">
        <f t="shared" si="0"/>
        <v>135.72</v>
      </c>
      <c r="F59" s="59">
        <v>0</v>
      </c>
      <c r="G59" s="59">
        <f t="shared" ref="G59" si="4">D59*F59</f>
        <v>0</v>
      </c>
    </row>
    <row r="60" spans="1:7" ht="15.75" customHeight="1" x14ac:dyDescent="0.25">
      <c r="A60" s="3" t="s">
        <v>930</v>
      </c>
      <c r="B60" s="1">
        <v>1.5</v>
      </c>
      <c r="C60" s="3" t="s">
        <v>14</v>
      </c>
      <c r="D60" s="58">
        <v>67.86</v>
      </c>
      <c r="E60" s="3">
        <f>B60*D60</f>
        <v>101.78999999999999</v>
      </c>
      <c r="F60" s="59">
        <v>0</v>
      </c>
      <c r="G60" s="59">
        <f t="shared" si="1"/>
        <v>0</v>
      </c>
    </row>
    <row r="61" spans="1:7" ht="15.75" customHeight="1" x14ac:dyDescent="0.25">
      <c r="A61" s="3" t="s">
        <v>819</v>
      </c>
      <c r="B61" s="1">
        <v>0</v>
      </c>
      <c r="C61" s="3" t="s">
        <v>14</v>
      </c>
      <c r="D61" s="58">
        <v>67.86</v>
      </c>
      <c r="E61" s="3">
        <f t="shared" si="0"/>
        <v>0</v>
      </c>
      <c r="F61" s="59">
        <v>0</v>
      </c>
      <c r="G61" s="59">
        <f t="shared" si="1"/>
        <v>0</v>
      </c>
    </row>
    <row r="62" spans="1:7" ht="15.75" customHeight="1" x14ac:dyDescent="0.25">
      <c r="A62" s="3" t="s">
        <v>820</v>
      </c>
      <c r="B62" s="1">
        <v>0</v>
      </c>
      <c r="C62" s="3" t="s">
        <v>14</v>
      </c>
      <c r="D62" s="58">
        <v>67.86</v>
      </c>
      <c r="E62" s="3">
        <f t="shared" si="0"/>
        <v>0</v>
      </c>
      <c r="F62" s="3">
        <v>0</v>
      </c>
      <c r="G62" s="59">
        <f t="shared" si="1"/>
        <v>0</v>
      </c>
    </row>
    <row r="63" spans="1:7" ht="15.75" customHeight="1" x14ac:dyDescent="0.25">
      <c r="A63" s="3" t="s">
        <v>932</v>
      </c>
      <c r="B63" s="1">
        <v>1</v>
      </c>
      <c r="C63" s="3" t="s">
        <v>14</v>
      </c>
      <c r="D63" s="58">
        <v>67.86</v>
      </c>
      <c r="E63" s="3">
        <f t="shared" si="0"/>
        <v>67.86</v>
      </c>
      <c r="F63" s="3">
        <v>0</v>
      </c>
      <c r="G63" s="3">
        <f t="shared" ref="G63:G70" si="5">D63*F63</f>
        <v>0</v>
      </c>
    </row>
    <row r="64" spans="1:7" ht="15.75" customHeight="1" x14ac:dyDescent="0.25">
      <c r="A64" s="3" t="s">
        <v>821</v>
      </c>
      <c r="B64" s="1">
        <v>0</v>
      </c>
      <c r="C64" s="3" t="s">
        <v>14</v>
      </c>
      <c r="D64" s="58">
        <v>67.86</v>
      </c>
      <c r="E64" s="3">
        <f t="shared" si="0"/>
        <v>0</v>
      </c>
      <c r="F64" s="3">
        <v>0</v>
      </c>
      <c r="G64" s="3">
        <f t="shared" si="5"/>
        <v>0</v>
      </c>
    </row>
    <row r="65" spans="1:7" ht="15.75" customHeight="1" x14ac:dyDescent="0.25">
      <c r="A65" s="3" t="s">
        <v>939</v>
      </c>
      <c r="B65" s="1">
        <v>0</v>
      </c>
      <c r="C65" s="3" t="s">
        <v>14</v>
      </c>
      <c r="D65" s="58">
        <v>67.86</v>
      </c>
      <c r="E65" s="3">
        <f t="shared" si="0"/>
        <v>0</v>
      </c>
      <c r="F65" s="3"/>
      <c r="G65" s="3"/>
    </row>
    <row r="66" spans="1:7" ht="15.75" customHeight="1" x14ac:dyDescent="0.25">
      <c r="A66" s="3" t="s">
        <v>822</v>
      </c>
      <c r="B66" s="1">
        <v>0</v>
      </c>
      <c r="C66" s="3" t="s">
        <v>14</v>
      </c>
      <c r="D66" s="58">
        <v>67.86</v>
      </c>
      <c r="E66" s="3">
        <f t="shared" si="0"/>
        <v>0</v>
      </c>
      <c r="F66" s="3">
        <v>0</v>
      </c>
      <c r="G66" s="3">
        <f t="shared" si="5"/>
        <v>0</v>
      </c>
    </row>
    <row r="67" spans="1:7" ht="15.75" customHeight="1" x14ac:dyDescent="0.25">
      <c r="A67" s="3" t="s">
        <v>823</v>
      </c>
      <c r="B67" s="1">
        <v>0</v>
      </c>
      <c r="C67" s="3" t="s">
        <v>14</v>
      </c>
      <c r="D67" s="58">
        <v>67.86</v>
      </c>
      <c r="E67" s="3">
        <f t="shared" si="0"/>
        <v>0</v>
      </c>
      <c r="F67" s="3">
        <v>0</v>
      </c>
      <c r="G67" s="3">
        <f t="shared" si="5"/>
        <v>0</v>
      </c>
    </row>
    <row r="68" spans="1:7" ht="15.75" customHeight="1" x14ac:dyDescent="0.25">
      <c r="A68" s="3" t="s">
        <v>843</v>
      </c>
      <c r="B68" s="1">
        <v>1</v>
      </c>
      <c r="C68" s="3" t="s">
        <v>14</v>
      </c>
      <c r="D68" s="58">
        <v>67.86</v>
      </c>
      <c r="E68" s="3">
        <f t="shared" si="0"/>
        <v>67.86</v>
      </c>
      <c r="F68" s="3">
        <v>0</v>
      </c>
      <c r="G68" s="3">
        <f t="shared" ref="G68:G69" si="6">D68*F68</f>
        <v>0</v>
      </c>
    </row>
    <row r="69" spans="1:7" ht="15.75" customHeight="1" x14ac:dyDescent="0.25">
      <c r="A69" s="3" t="s">
        <v>859</v>
      </c>
      <c r="B69" s="1">
        <v>0</v>
      </c>
      <c r="C69" s="3" t="s">
        <v>14</v>
      </c>
      <c r="D69" s="58">
        <v>67.86</v>
      </c>
      <c r="E69" s="3">
        <f t="shared" si="0"/>
        <v>0</v>
      </c>
      <c r="F69" s="3">
        <v>0</v>
      </c>
      <c r="G69" s="3">
        <f t="shared" si="6"/>
        <v>0</v>
      </c>
    </row>
    <row r="70" spans="1:7" ht="15.75" customHeight="1" x14ac:dyDescent="0.25">
      <c r="A70" s="3" t="s">
        <v>824</v>
      </c>
      <c r="B70" s="1">
        <v>0</v>
      </c>
      <c r="C70" s="3" t="s">
        <v>14</v>
      </c>
      <c r="D70" s="58">
        <v>67.86</v>
      </c>
      <c r="E70" s="3">
        <f t="shared" si="0"/>
        <v>0</v>
      </c>
      <c r="F70" s="3">
        <v>0</v>
      </c>
      <c r="G70" s="3">
        <f t="shared" si="5"/>
        <v>0</v>
      </c>
    </row>
    <row r="71" spans="1:7" ht="15.75" customHeight="1" x14ac:dyDescent="0.25">
      <c r="A71" s="61"/>
      <c r="B71" s="62"/>
      <c r="C71" s="62"/>
      <c r="D71" s="62"/>
      <c r="E71" s="62"/>
      <c r="F71" s="62"/>
      <c r="G71" s="63"/>
    </row>
    <row r="72" spans="1:7" ht="15.75" customHeight="1" x14ac:dyDescent="0.25">
      <c r="A72" s="64" t="s">
        <v>825</v>
      </c>
      <c r="B72" s="62"/>
      <c r="C72" s="62"/>
      <c r="D72" s="63"/>
      <c r="E72" s="54">
        <f>SUM(E2:E70)</f>
        <v>7234.5459999999985</v>
      </c>
      <c r="F72" s="3"/>
      <c r="G72" s="54">
        <f>SUM(G17:G70)</f>
        <v>0</v>
      </c>
    </row>
    <row r="73" spans="1:7" ht="15.75" customHeight="1" x14ac:dyDescent="0.25">
      <c r="A73" s="61"/>
      <c r="B73" s="62"/>
      <c r="C73" s="62"/>
      <c r="D73" s="62"/>
      <c r="E73" s="62"/>
      <c r="F73" s="62"/>
      <c r="G73" s="63"/>
    </row>
  </sheetData>
  <autoFilter ref="A1:G70" xr:uid="{00000000-0009-0000-0000-000006000000}"/>
  <mergeCells count="3">
    <mergeCell ref="A71:G71"/>
    <mergeCell ref="A72:D72"/>
    <mergeCell ref="A73:G73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sqref="A1:XFD1048576"/>
    </sheetView>
  </sheetViews>
  <sheetFormatPr defaultColWidth="14.42578125" defaultRowHeight="15.75" customHeight="1" x14ac:dyDescent="0.25"/>
  <cols>
    <col min="1" max="1" width="23.85546875" style="53" customWidth="1"/>
    <col min="2" max="2" width="11.5703125" style="53" customWidth="1"/>
    <col min="3" max="3" width="18" style="53" customWidth="1"/>
    <col min="4" max="4" width="22.140625" style="53" customWidth="1"/>
    <col min="5" max="6" width="8.7109375" style="53" customWidth="1"/>
    <col min="7" max="16384" width="14.42578125" style="53"/>
  </cols>
  <sheetData>
    <row r="1" spans="1:4" ht="15.75" customHeight="1" x14ac:dyDescent="0.25">
      <c r="A1" s="51" t="s">
        <v>826</v>
      </c>
      <c r="B1" s="52"/>
      <c r="C1" s="52"/>
      <c r="D1" s="52"/>
    </row>
    <row r="2" spans="1:4" ht="15.75" customHeight="1" x14ac:dyDescent="0.25">
      <c r="A2" s="54" t="s">
        <v>827</v>
      </c>
      <c r="B2" s="54" t="s">
        <v>828</v>
      </c>
      <c r="C2" s="54" t="s">
        <v>829</v>
      </c>
      <c r="D2" s="54" t="s">
        <v>830</v>
      </c>
    </row>
    <row r="3" spans="1:4" ht="15.75" customHeight="1" x14ac:dyDescent="0.25">
      <c r="A3" s="7"/>
      <c r="B3" s="3">
        <v>0</v>
      </c>
      <c r="C3" s="55">
        <v>0</v>
      </c>
      <c r="D3" s="56">
        <f>B3*C3</f>
        <v>0</v>
      </c>
    </row>
    <row r="8" spans="1:4" ht="15.75" customHeight="1" x14ac:dyDescent="0.25">
      <c r="C8" s="107"/>
    </row>
  </sheetData>
  <mergeCells count="1">
    <mergeCell ref="A1:D1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Geral</vt:lpstr>
      <vt:lpstr>Hortifruti</vt:lpstr>
      <vt:lpstr>Massas</vt:lpstr>
      <vt:lpstr>Porcionados</vt:lpstr>
      <vt:lpstr>Molhos</vt:lpstr>
      <vt:lpstr>Bebidas Álcoolicas</vt:lpstr>
      <vt:lpstr>Bebidas não Álcoolicas</vt:lpstr>
      <vt:lpstr>Perda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Bem-vindo(a)</dc:creator>
  <cp:lastModifiedBy>BFWGroup 2</cp:lastModifiedBy>
  <cp:lastPrinted>2025-10-02T14:45:27Z</cp:lastPrinted>
  <dcterms:created xsi:type="dcterms:W3CDTF">2024-07-11T18:42:37Z</dcterms:created>
  <dcterms:modified xsi:type="dcterms:W3CDTF">2026-09-08T13:45:39Z</dcterms:modified>
</cp:coreProperties>
</file>